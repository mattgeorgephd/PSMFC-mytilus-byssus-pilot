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NA" sheetId="1" r:id="rId5"/>
    <sheet state="visible" name="all-samples" sheetId="2" r:id="rId6"/>
    <sheet state="visible" name="mussel-ID_key" sheetId="3" r:id="rId7"/>
  </sheets>
  <definedNames>
    <definedName hidden="1" localSheetId="0" name="_xlnm._FilterDatabase">RNA!$A$1:$K$992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tc={2b1f0898-2ec0-4ee9-912c-81e799222eda}</author>
    <author>tc={4f13e845-8e17-4658-9a51-e489352cd64d}</author>
  </authors>
  <commentList>
    <comment authorId="0" xr:uid="{2b1f0898-2ec0-4ee9-912c-81e799222ed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-80 inventory link:
https://docs.google.com/spreadsheets/d/1Qsvz3QTURlPF_hX05BQxjom3484WuMfqQ1ILl9LEljU/edit#gid=2006985773
</t>
      </text>
    </comment>
    <comment authorId="1" xr:uid="{4f13e845-8e17-4658-9a51-e489352cd6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-80 inventory link:
https://docs.google.com/spreadsheets/d/1Qsvz3QTURlPF_hX05BQxjom3484WuMfqQ1ILl9LEljU/edit#gid=2006985773
</t>
      </text>
    </comment>
  </commentList>
</comments>
</file>

<file path=xl/sharedStrings.xml><?xml version="1.0" encoding="utf-8"?>
<sst xmlns="http://schemas.openxmlformats.org/spreadsheetml/2006/main" count="4301" uniqueCount="753">
  <si>
    <t>number</t>
  </si>
  <si>
    <t>tube_ID</t>
  </si>
  <si>
    <t>freezer_location</t>
  </si>
  <si>
    <t>BOX_number</t>
  </si>
  <si>
    <t>species</t>
  </si>
  <si>
    <t>mussel_ID</t>
  </si>
  <si>
    <t>tissue</t>
  </si>
  <si>
    <t>treatment</t>
  </si>
  <si>
    <t>sort_ID</t>
  </si>
  <si>
    <t>both_thread</t>
  </si>
  <si>
    <t>priority</t>
  </si>
  <si>
    <t>G01-F</t>
  </si>
  <si>
    <t>9-1-1</t>
  </si>
  <si>
    <t>G01</t>
  </si>
  <si>
    <t>foot</t>
  </si>
  <si>
    <t>gallo-control-0</t>
  </si>
  <si>
    <t>gallo-control-0-foot</t>
  </si>
  <si>
    <t>G01-G</t>
  </si>
  <si>
    <t>gill</t>
  </si>
  <si>
    <t>gallo-control-0-gill</t>
  </si>
  <si>
    <t>G02-F</t>
  </si>
  <si>
    <t>G02</t>
  </si>
  <si>
    <t>G02-G</t>
  </si>
  <si>
    <t>G03-F</t>
  </si>
  <si>
    <t>gallo</t>
  </si>
  <si>
    <t>G03</t>
  </si>
  <si>
    <t>G03-G</t>
  </si>
  <si>
    <t>G04-F</t>
  </si>
  <si>
    <t>G04</t>
  </si>
  <si>
    <t>G04-G</t>
  </si>
  <si>
    <t>G05-F</t>
  </si>
  <si>
    <t>G05</t>
  </si>
  <si>
    <t>G05-G</t>
  </si>
  <si>
    <t>G06-F</t>
  </si>
  <si>
    <t>G06</t>
  </si>
  <si>
    <t>G06-G</t>
  </si>
  <si>
    <t>G07-F</t>
  </si>
  <si>
    <t>G07</t>
  </si>
  <si>
    <t>G07-G</t>
  </si>
  <si>
    <t>G08-F</t>
  </si>
  <si>
    <t>G08</t>
  </si>
  <si>
    <t>G08-G</t>
  </si>
  <si>
    <t>G09-F</t>
  </si>
  <si>
    <t>G09</t>
  </si>
  <si>
    <t>G09-G</t>
  </si>
  <si>
    <t>G10-F</t>
  </si>
  <si>
    <t>G10</t>
  </si>
  <si>
    <t>G10-G</t>
  </si>
  <si>
    <t>G11-F</t>
  </si>
  <si>
    <t>G11</t>
  </si>
  <si>
    <t>G11-G</t>
  </si>
  <si>
    <t>G12-F</t>
  </si>
  <si>
    <t>G12</t>
  </si>
  <si>
    <t>G12-G</t>
  </si>
  <si>
    <t>G13-F</t>
  </si>
  <si>
    <t>9-1-4</t>
  </si>
  <si>
    <t>G13</t>
  </si>
  <si>
    <t>gallo-OA-3</t>
  </si>
  <si>
    <t>gallo-OA-3-foot</t>
  </si>
  <si>
    <t>G13-G</t>
  </si>
  <si>
    <t>9-1-3</t>
  </si>
  <si>
    <t>gallo-OA-3-gill</t>
  </si>
  <si>
    <t>G14-F</t>
  </si>
  <si>
    <t>G14</t>
  </si>
  <si>
    <t>G14-G</t>
  </si>
  <si>
    <t>G15-F</t>
  </si>
  <si>
    <t>G15</t>
  </si>
  <si>
    <t>G15-G</t>
  </si>
  <si>
    <t>G16-F</t>
  </si>
  <si>
    <t>G16</t>
  </si>
  <si>
    <t>G16-G</t>
  </si>
  <si>
    <t>G17-F</t>
  </si>
  <si>
    <t>G17</t>
  </si>
  <si>
    <t>G17-G</t>
  </si>
  <si>
    <t>G18-F</t>
  </si>
  <si>
    <t>G18</t>
  </si>
  <si>
    <t>G18-G</t>
  </si>
  <si>
    <t>G21-F</t>
  </si>
  <si>
    <t>9-2-2</t>
  </si>
  <si>
    <t>G21</t>
  </si>
  <si>
    <t>gallo-OW-3</t>
  </si>
  <si>
    <t>gallo-OW-3-foot</t>
  </si>
  <si>
    <t>G21-G</t>
  </si>
  <si>
    <t>9-1-5</t>
  </si>
  <si>
    <t>gallo-OW-3-gill</t>
  </si>
  <si>
    <t>G24-F</t>
  </si>
  <si>
    <t>G24</t>
  </si>
  <si>
    <t>G24-G</t>
  </si>
  <si>
    <t>G26-F</t>
  </si>
  <si>
    <t>G26</t>
  </si>
  <si>
    <t>G26-G</t>
  </si>
  <si>
    <t>G28-F</t>
  </si>
  <si>
    <t>G28</t>
  </si>
  <si>
    <t>gallo-DO-3</t>
  </si>
  <si>
    <t>gallo-DO-3-foot</t>
  </si>
  <si>
    <t>G28-G</t>
  </si>
  <si>
    <t>gallo-DO-3-gill</t>
  </si>
  <si>
    <t>G29-F</t>
  </si>
  <si>
    <t>G29</t>
  </si>
  <si>
    <t>G29-G</t>
  </si>
  <si>
    <t>G30-F</t>
  </si>
  <si>
    <t>G30</t>
  </si>
  <si>
    <t>G30-G</t>
  </si>
  <si>
    <t>G31-F</t>
  </si>
  <si>
    <t>G31</t>
  </si>
  <si>
    <t>G31-G</t>
  </si>
  <si>
    <t>G32-F</t>
  </si>
  <si>
    <t>G32</t>
  </si>
  <si>
    <t>G32-G</t>
  </si>
  <si>
    <t>G33-F</t>
  </si>
  <si>
    <t>G33</t>
  </si>
  <si>
    <t>G33-G</t>
  </si>
  <si>
    <t>G34-F</t>
  </si>
  <si>
    <t>G34</t>
  </si>
  <si>
    <t>G34-G</t>
  </si>
  <si>
    <t>G65-F</t>
  </si>
  <si>
    <t>G65</t>
  </si>
  <si>
    <t>G65-G</t>
  </si>
  <si>
    <t>G66-F</t>
  </si>
  <si>
    <t>G66</t>
  </si>
  <si>
    <t>G66-G</t>
  </si>
  <si>
    <t>G67-F</t>
  </si>
  <si>
    <t>G67</t>
  </si>
  <si>
    <t>G67-G</t>
  </si>
  <si>
    <t>G68-F</t>
  </si>
  <si>
    <t>G68</t>
  </si>
  <si>
    <t>G68-G</t>
  </si>
  <si>
    <t>G69-F</t>
  </si>
  <si>
    <t>G69</t>
  </si>
  <si>
    <t>G69-G</t>
  </si>
  <si>
    <t>G70-F</t>
  </si>
  <si>
    <t>G70</t>
  </si>
  <si>
    <t>G70-G</t>
  </si>
  <si>
    <t>G71-F</t>
  </si>
  <si>
    <t>G71</t>
  </si>
  <si>
    <t>G71-G</t>
  </si>
  <si>
    <t>G72-F</t>
  </si>
  <si>
    <t>G72</t>
  </si>
  <si>
    <t>G72-G</t>
  </si>
  <si>
    <t>G73-F</t>
  </si>
  <si>
    <t>G73</t>
  </si>
  <si>
    <t>G73-G</t>
  </si>
  <si>
    <t>G74-F</t>
  </si>
  <si>
    <t>G74</t>
  </si>
  <si>
    <t>G74-G</t>
  </si>
  <si>
    <t>G75-F</t>
  </si>
  <si>
    <t>G75</t>
  </si>
  <si>
    <t>G75-G</t>
  </si>
  <si>
    <t>G76-F</t>
  </si>
  <si>
    <t>G76</t>
  </si>
  <si>
    <t>G76-G</t>
  </si>
  <si>
    <t>G77-F</t>
  </si>
  <si>
    <t>G77</t>
  </si>
  <si>
    <t>G77-G</t>
  </si>
  <si>
    <t>G78-F</t>
  </si>
  <si>
    <t>G78</t>
  </si>
  <si>
    <t>G78-G</t>
  </si>
  <si>
    <t>G79-F</t>
  </si>
  <si>
    <t>G79</t>
  </si>
  <si>
    <t>gallo-control-3</t>
  </si>
  <si>
    <t>gallo-control-3-foot</t>
  </si>
  <si>
    <t>G79-G</t>
  </si>
  <si>
    <t>gallo-control-3-gill</t>
  </si>
  <si>
    <t>G80-F</t>
  </si>
  <si>
    <t>G80</t>
  </si>
  <si>
    <t>G80-G</t>
  </si>
  <si>
    <t>G81-F</t>
  </si>
  <si>
    <t>G81</t>
  </si>
  <si>
    <t>G81-G</t>
  </si>
  <si>
    <t>G82-F</t>
  </si>
  <si>
    <t>G82</t>
  </si>
  <si>
    <t>G82-G</t>
  </si>
  <si>
    <t>G83-F</t>
  </si>
  <si>
    <t>G83</t>
  </si>
  <si>
    <t>G83-G</t>
  </si>
  <si>
    <t>G84-F</t>
  </si>
  <si>
    <t>G84</t>
  </si>
  <si>
    <t>G84-G</t>
  </si>
  <si>
    <t>G85-F</t>
  </si>
  <si>
    <t>G85</t>
  </si>
  <si>
    <t>G85-G</t>
  </si>
  <si>
    <t>G86-F</t>
  </si>
  <si>
    <t>G86</t>
  </si>
  <si>
    <t>G86-G</t>
  </si>
  <si>
    <t>G87-F</t>
  </si>
  <si>
    <t>G87</t>
  </si>
  <si>
    <t>G87-G</t>
  </si>
  <si>
    <t>G88-F</t>
  </si>
  <si>
    <t>G88</t>
  </si>
  <si>
    <t>G88-G</t>
  </si>
  <si>
    <t>G89-F</t>
  </si>
  <si>
    <t>G89</t>
  </si>
  <si>
    <t>G89-G</t>
  </si>
  <si>
    <t>G90-F</t>
  </si>
  <si>
    <t>G90</t>
  </si>
  <si>
    <t>G90-G</t>
  </si>
  <si>
    <t>T01-F</t>
  </si>
  <si>
    <t>T01</t>
  </si>
  <si>
    <t>tross-control-0</t>
  </si>
  <si>
    <t>tross-control-0-foot</t>
  </si>
  <si>
    <t>High</t>
  </si>
  <si>
    <t>T01-G</t>
  </si>
  <si>
    <t>tross-control-0-gill</t>
  </si>
  <si>
    <t>T02-F</t>
  </si>
  <si>
    <t>T02</t>
  </si>
  <si>
    <t>T02-G</t>
  </si>
  <si>
    <t>T03-F</t>
  </si>
  <si>
    <t>T03</t>
  </si>
  <si>
    <t>T03-G</t>
  </si>
  <si>
    <t>T04-F</t>
  </si>
  <si>
    <t>T04</t>
  </si>
  <si>
    <t>T04-G</t>
  </si>
  <si>
    <t>T05-F</t>
  </si>
  <si>
    <t>T05</t>
  </si>
  <si>
    <t>T05-G</t>
  </si>
  <si>
    <t>T06-F</t>
  </si>
  <si>
    <t>T06</t>
  </si>
  <si>
    <t>T06-G</t>
  </si>
  <si>
    <t>T07-F</t>
  </si>
  <si>
    <t>T07</t>
  </si>
  <si>
    <t>T07-G</t>
  </si>
  <si>
    <t>T08-F</t>
  </si>
  <si>
    <t>T08</t>
  </si>
  <si>
    <t>T08-G</t>
  </si>
  <si>
    <t>T09-F</t>
  </si>
  <si>
    <t>T09</t>
  </si>
  <si>
    <t>T09-G</t>
  </si>
  <si>
    <t>T10-F</t>
  </si>
  <si>
    <t>T10</t>
  </si>
  <si>
    <t>T10-G</t>
  </si>
  <si>
    <t>T11-F</t>
  </si>
  <si>
    <t>T11</t>
  </si>
  <si>
    <t>T11-G</t>
  </si>
  <si>
    <t>T110-F</t>
  </si>
  <si>
    <t>T110</t>
  </si>
  <si>
    <t>tross-DO-3</t>
  </si>
  <si>
    <t>tross-DO-3-foot</t>
  </si>
  <si>
    <t>T110-G</t>
  </si>
  <si>
    <t>tross</t>
  </si>
  <si>
    <t>tross-DO-3-gill</t>
  </si>
  <si>
    <t>T111-F</t>
  </si>
  <si>
    <t>T111</t>
  </si>
  <si>
    <t>T111-G</t>
  </si>
  <si>
    <t>T112-F</t>
  </si>
  <si>
    <t>T112</t>
  </si>
  <si>
    <t>T112-G</t>
  </si>
  <si>
    <t>T118-F</t>
  </si>
  <si>
    <t>T118</t>
  </si>
  <si>
    <t>tross-OA-3</t>
  </si>
  <si>
    <t>tross-OA-3-foot</t>
  </si>
  <si>
    <t>T118-G</t>
  </si>
  <si>
    <t>tross-OA-3-gill</t>
  </si>
  <si>
    <t>T119-F</t>
  </si>
  <si>
    <t>T119</t>
  </si>
  <si>
    <t>T119-G</t>
  </si>
  <si>
    <t>T12-F</t>
  </si>
  <si>
    <t>T12</t>
  </si>
  <si>
    <t>T12-G</t>
  </si>
  <si>
    <t>T126-F</t>
  </si>
  <si>
    <t>T126</t>
  </si>
  <si>
    <t>tross-control-3</t>
  </si>
  <si>
    <t>tross-control-3-foot</t>
  </si>
  <si>
    <t>T126-G</t>
  </si>
  <si>
    <t>tross-control-3-gill</t>
  </si>
  <si>
    <t>T127-F</t>
  </si>
  <si>
    <t>T127</t>
  </si>
  <si>
    <t>T127-G</t>
  </si>
  <si>
    <t>T128-F</t>
  </si>
  <si>
    <t>T128</t>
  </si>
  <si>
    <t>T128-G</t>
  </si>
  <si>
    <t>T129-F</t>
  </si>
  <si>
    <t>T129</t>
  </si>
  <si>
    <t>T129-G</t>
  </si>
  <si>
    <t>T130-F</t>
  </si>
  <si>
    <t>T130</t>
  </si>
  <si>
    <t>T130-G</t>
  </si>
  <si>
    <t>T131-F</t>
  </si>
  <si>
    <t>T131</t>
  </si>
  <si>
    <t>T131-G</t>
  </si>
  <si>
    <t>T132-F</t>
  </si>
  <si>
    <t>T132</t>
  </si>
  <si>
    <t>T132-G</t>
  </si>
  <si>
    <t>T133-F</t>
  </si>
  <si>
    <t>T133</t>
  </si>
  <si>
    <t>T133-G</t>
  </si>
  <si>
    <t>T134-F</t>
  </si>
  <si>
    <t>T134</t>
  </si>
  <si>
    <t>T134-G</t>
  </si>
  <si>
    <t>T135-F</t>
  </si>
  <si>
    <t>T135</t>
  </si>
  <si>
    <t>T135-G</t>
  </si>
  <si>
    <t>T136-F</t>
  </si>
  <si>
    <t>T136</t>
  </si>
  <si>
    <t>T136-G</t>
  </si>
  <si>
    <t>T137-F</t>
  </si>
  <si>
    <t>T137</t>
  </si>
  <si>
    <t>T137-G</t>
  </si>
  <si>
    <t>T138-F</t>
  </si>
  <si>
    <t>9-2-3</t>
  </si>
  <si>
    <t>T138</t>
  </si>
  <si>
    <t>tross-desiccation-24h</t>
  </si>
  <si>
    <t>tross-desiccation-24h-foot</t>
  </si>
  <si>
    <t>T138-G</t>
  </si>
  <si>
    <t>tross-desiccation-24h-gill</t>
  </si>
  <si>
    <t>T139-F</t>
  </si>
  <si>
    <t>T139</t>
  </si>
  <si>
    <t>T139-G</t>
  </si>
  <si>
    <t>T14-F</t>
  </si>
  <si>
    <t>T14</t>
  </si>
  <si>
    <t>T14-G</t>
  </si>
  <si>
    <t>T140-F</t>
  </si>
  <si>
    <t>T140</t>
  </si>
  <si>
    <t>T140-G</t>
  </si>
  <si>
    <t>T141-F</t>
  </si>
  <si>
    <t>T141</t>
  </si>
  <si>
    <t>T141-G</t>
  </si>
  <si>
    <t>T142-F</t>
  </si>
  <si>
    <t>T142</t>
  </si>
  <si>
    <t>T142-G</t>
  </si>
  <si>
    <t>T143-F</t>
  </si>
  <si>
    <t>T143</t>
  </si>
  <si>
    <t>T143-G</t>
  </si>
  <si>
    <t>T144-F</t>
  </si>
  <si>
    <t>T144</t>
  </si>
  <si>
    <t>T144-G</t>
  </si>
  <si>
    <t>T145-F</t>
  </si>
  <si>
    <t>T145</t>
  </si>
  <si>
    <t>T145-G</t>
  </si>
  <si>
    <t>T146-F</t>
  </si>
  <si>
    <t>T146</t>
  </si>
  <si>
    <t>T146-G</t>
  </si>
  <si>
    <t>T147-F</t>
  </si>
  <si>
    <t>T147</t>
  </si>
  <si>
    <t>T147-G</t>
  </si>
  <si>
    <t>T148-F</t>
  </si>
  <si>
    <t>T148</t>
  </si>
  <si>
    <t>T148-G</t>
  </si>
  <si>
    <t>T149-F</t>
  </si>
  <si>
    <t>T149</t>
  </si>
  <si>
    <t>T149-G</t>
  </si>
  <si>
    <t>T15-F</t>
  </si>
  <si>
    <t>T15</t>
  </si>
  <si>
    <t>T15-G</t>
  </si>
  <si>
    <t>T16-F</t>
  </si>
  <si>
    <t>T16</t>
  </si>
  <si>
    <t>T16-G</t>
  </si>
  <si>
    <t>T17-F</t>
  </si>
  <si>
    <t>T17</t>
  </si>
  <si>
    <t>T17-G</t>
  </si>
  <si>
    <t>T19-F</t>
  </si>
  <si>
    <t>T19</t>
  </si>
  <si>
    <t>T19-G</t>
  </si>
  <si>
    <t>T21-F</t>
  </si>
  <si>
    <t>T21</t>
  </si>
  <si>
    <t>T21-G</t>
  </si>
  <si>
    <t>T23-F</t>
  </si>
  <si>
    <t>T23</t>
  </si>
  <si>
    <t>T23-G</t>
  </si>
  <si>
    <t>T25-F</t>
  </si>
  <si>
    <t>T25</t>
  </si>
  <si>
    <t>T25-G</t>
  </si>
  <si>
    <t>T26-F</t>
  </si>
  <si>
    <t>T26</t>
  </si>
  <si>
    <t>T26-G</t>
  </si>
  <si>
    <t>T27-F</t>
  </si>
  <si>
    <t>T27</t>
  </si>
  <si>
    <t>T27-G</t>
  </si>
  <si>
    <t>T29-F</t>
  </si>
  <si>
    <t>T29</t>
  </si>
  <si>
    <t>tross-OW-3</t>
  </si>
  <si>
    <t>tross-OW-3-foot</t>
  </si>
  <si>
    <t>T29-G</t>
  </si>
  <si>
    <t>tross-OW-3-gill</t>
  </si>
  <si>
    <t>T30-F</t>
  </si>
  <si>
    <t>T30</t>
  </si>
  <si>
    <t>T30-G</t>
  </si>
  <si>
    <t>T31-F</t>
  </si>
  <si>
    <t>T31</t>
  </si>
  <si>
    <t>T31-G</t>
  </si>
  <si>
    <t>T33-F</t>
  </si>
  <si>
    <t>T33</t>
  </si>
  <si>
    <t>T33-G</t>
  </si>
  <si>
    <t>T34-F</t>
  </si>
  <si>
    <t>T34</t>
  </si>
  <si>
    <t>T34-G</t>
  </si>
  <si>
    <t>T35-F</t>
  </si>
  <si>
    <t>T35</t>
  </si>
  <si>
    <t>T35-G</t>
  </si>
  <si>
    <t>T36-F</t>
  </si>
  <si>
    <t>T36</t>
  </si>
  <si>
    <t>T36-G</t>
  </si>
  <si>
    <t>T37-F</t>
  </si>
  <si>
    <t>T37</t>
  </si>
  <si>
    <t>T37-G</t>
  </si>
  <si>
    <t>T38-F</t>
  </si>
  <si>
    <t>T38</t>
  </si>
  <si>
    <t>T38-G</t>
  </si>
  <si>
    <t>T39-F</t>
  </si>
  <si>
    <t>T39</t>
  </si>
  <si>
    <t>T39-G</t>
  </si>
  <si>
    <t>T40-F</t>
  </si>
  <si>
    <t>T40</t>
  </si>
  <si>
    <t>T40-G</t>
  </si>
  <si>
    <t>T41-F</t>
  </si>
  <si>
    <t>T41</t>
  </si>
  <si>
    <t>T41-G</t>
  </si>
  <si>
    <t>T46-F</t>
  </si>
  <si>
    <t>T46</t>
  </si>
  <si>
    <t>T46-G</t>
  </si>
  <si>
    <t>T47-F</t>
  </si>
  <si>
    <t>T47</t>
  </si>
  <si>
    <t>T47-G</t>
  </si>
  <si>
    <t>T49-F</t>
  </si>
  <si>
    <t>T49</t>
  </si>
  <si>
    <t>T49-G</t>
  </si>
  <si>
    <t>T51-F</t>
  </si>
  <si>
    <t>T51</t>
  </si>
  <si>
    <t>T51-G</t>
  </si>
  <si>
    <t>T52-F</t>
  </si>
  <si>
    <t>T52</t>
  </si>
  <si>
    <t>T52-G</t>
  </si>
  <si>
    <t>T55-F</t>
  </si>
  <si>
    <t>T55</t>
  </si>
  <si>
    <t>T55-G</t>
  </si>
  <si>
    <t>T56-F</t>
  </si>
  <si>
    <t>T56</t>
  </si>
  <si>
    <t>T56-G</t>
  </si>
  <si>
    <t>T57-F</t>
  </si>
  <si>
    <t>T57</t>
  </si>
  <si>
    <t>T57-G</t>
  </si>
  <si>
    <t>T58-F</t>
  </si>
  <si>
    <t>T58</t>
  </si>
  <si>
    <t>T58-G</t>
  </si>
  <si>
    <t>combo</t>
  </si>
  <si>
    <t>treatment_summary</t>
  </si>
  <si>
    <t>count</t>
  </si>
  <si>
    <t>tross-control-3-mantle</t>
  </si>
  <si>
    <t>G01-M</t>
  </si>
  <si>
    <t>mantle</t>
  </si>
  <si>
    <t>G02-M</t>
  </si>
  <si>
    <t>G03-M</t>
  </si>
  <si>
    <t>G04-M</t>
  </si>
  <si>
    <t>G05-M</t>
  </si>
  <si>
    <t>G06-M</t>
  </si>
  <si>
    <t>G07-M</t>
  </si>
  <si>
    <t>G08-M</t>
  </si>
  <si>
    <t>G09-M</t>
  </si>
  <si>
    <t>G10-M</t>
  </si>
  <si>
    <t>G11-M</t>
  </si>
  <si>
    <t>G12-M</t>
  </si>
  <si>
    <t>9-2-1</t>
  </si>
  <si>
    <t>G79-M</t>
  </si>
  <si>
    <t>G80-M</t>
  </si>
  <si>
    <t>G81-M</t>
  </si>
  <si>
    <t>G82-M</t>
  </si>
  <si>
    <t>G83-M</t>
  </si>
  <si>
    <t>G84-M</t>
  </si>
  <si>
    <t>G85-M</t>
  </si>
  <si>
    <t>G86-M</t>
  </si>
  <si>
    <t>G87-M</t>
  </si>
  <si>
    <t>G88-M</t>
  </si>
  <si>
    <t>G89-M</t>
  </si>
  <si>
    <t>G90-M</t>
  </si>
  <si>
    <t>9-1-2</t>
  </si>
  <si>
    <t>G46</t>
  </si>
  <si>
    <t>G46-F</t>
  </si>
  <si>
    <t>G47</t>
  </si>
  <si>
    <t>G47-F</t>
  </si>
  <si>
    <t>G45</t>
  </si>
  <si>
    <t>G45-F</t>
  </si>
  <si>
    <t>G49</t>
  </si>
  <si>
    <t>G49-F</t>
  </si>
  <si>
    <t>G48</t>
  </si>
  <si>
    <t>G48-F</t>
  </si>
  <si>
    <t>G46-G</t>
  </si>
  <si>
    <t>G47-G</t>
  </si>
  <si>
    <t>G45-G</t>
  </si>
  <si>
    <t>G49-G</t>
  </si>
  <si>
    <t>G48-G</t>
  </si>
  <si>
    <t>G46-M</t>
  </si>
  <si>
    <t>G47-M</t>
  </si>
  <si>
    <t>G45-M</t>
  </si>
  <si>
    <t>G49-M</t>
  </si>
  <si>
    <t>G48-M</t>
  </si>
  <si>
    <t>G30-M</t>
  </si>
  <si>
    <t>G29-M</t>
  </si>
  <si>
    <t>G33-M</t>
  </si>
  <si>
    <t>G34-M</t>
  </si>
  <si>
    <t>G66-M</t>
  </si>
  <si>
    <t>G69-M</t>
  </si>
  <si>
    <t>G70-M</t>
  </si>
  <si>
    <t>G28-M</t>
  </si>
  <si>
    <t>G31-M</t>
  </si>
  <si>
    <t>G32-M</t>
  </si>
  <si>
    <t>G68-M</t>
  </si>
  <si>
    <t>G35</t>
  </si>
  <si>
    <t>G35-F</t>
  </si>
  <si>
    <t>G38</t>
  </si>
  <si>
    <t>G38-F</t>
  </si>
  <si>
    <t>G39</t>
  </si>
  <si>
    <t>G39-F</t>
  </si>
  <si>
    <t>G36</t>
  </si>
  <si>
    <t>G36-F</t>
  </si>
  <si>
    <t>G37</t>
  </si>
  <si>
    <t>G37-F</t>
  </si>
  <si>
    <t>G35-G</t>
  </si>
  <si>
    <t>G38-G</t>
  </si>
  <si>
    <t>G39-G</t>
  </si>
  <si>
    <t>G36-G</t>
  </si>
  <si>
    <t>G37-G</t>
  </si>
  <si>
    <t>G35-M</t>
  </si>
  <si>
    <t>G38-M</t>
  </si>
  <si>
    <t>G39-M</t>
  </si>
  <si>
    <t>G36-M</t>
  </si>
  <si>
    <t>G37-M</t>
  </si>
  <si>
    <t>G18-M</t>
  </si>
  <si>
    <t>G13-M</t>
  </si>
  <si>
    <t>G14-M</t>
  </si>
  <si>
    <t>G15-M</t>
  </si>
  <si>
    <t>G16-M</t>
  </si>
  <si>
    <t>G17-M</t>
  </si>
  <si>
    <t>G73-M</t>
  </si>
  <si>
    <t>G71-M</t>
  </si>
  <si>
    <t>G72-M</t>
  </si>
  <si>
    <t>G21-M</t>
  </si>
  <si>
    <t>G24-M</t>
  </si>
  <si>
    <t>G26-M</t>
  </si>
  <si>
    <t>G65-M</t>
  </si>
  <si>
    <t>G74-M</t>
  </si>
  <si>
    <t>G75-M</t>
  </si>
  <si>
    <t>G76-M</t>
  </si>
  <si>
    <t>G77-M</t>
  </si>
  <si>
    <t>G78-M</t>
  </si>
  <si>
    <t>T01-M</t>
  </si>
  <si>
    <t>T02-M</t>
  </si>
  <si>
    <t>T03-M</t>
  </si>
  <si>
    <t>T04-M</t>
  </si>
  <si>
    <t>T05-M</t>
  </si>
  <si>
    <t>T06-M</t>
  </si>
  <si>
    <t>T07-M</t>
  </si>
  <si>
    <t>T08-M</t>
  </si>
  <si>
    <t>T09-M</t>
  </si>
  <si>
    <t>T10-M</t>
  </si>
  <si>
    <t>T11-M</t>
  </si>
  <si>
    <t>T12-M</t>
  </si>
  <si>
    <t>T126-M</t>
  </si>
  <si>
    <t>T127-M</t>
  </si>
  <si>
    <t>T128-M</t>
  </si>
  <si>
    <t>T129-M</t>
  </si>
  <si>
    <t>T130-M</t>
  </si>
  <si>
    <t>T131-M</t>
  </si>
  <si>
    <t>T132-M</t>
  </si>
  <si>
    <t>T133-M</t>
  </si>
  <si>
    <t>T134-M</t>
  </si>
  <si>
    <t>T135-M</t>
  </si>
  <si>
    <t>T136-M</t>
  </si>
  <si>
    <t>T137-M</t>
  </si>
  <si>
    <t>T143-M</t>
  </si>
  <si>
    <t>T149-M</t>
  </si>
  <si>
    <t>T147-M</t>
  </si>
  <si>
    <t>T141-M</t>
  </si>
  <si>
    <t>T148-M</t>
  </si>
  <si>
    <t>T139-M</t>
  </si>
  <si>
    <t>T144-M</t>
  </si>
  <si>
    <t>T142-M</t>
  </si>
  <si>
    <t>T138-M</t>
  </si>
  <si>
    <t>T146-M</t>
  </si>
  <si>
    <t>T145-M</t>
  </si>
  <si>
    <t>T140-M</t>
  </si>
  <si>
    <t>T70</t>
  </si>
  <si>
    <t>T70-F</t>
  </si>
  <si>
    <t>T73</t>
  </si>
  <si>
    <t>T73-F</t>
  </si>
  <si>
    <t>T69</t>
  </si>
  <si>
    <t>T69-F</t>
  </si>
  <si>
    <t>T72</t>
  </si>
  <si>
    <t>T72-F</t>
  </si>
  <si>
    <t>T71</t>
  </si>
  <si>
    <t>T71-F</t>
  </si>
  <si>
    <t>T70-G</t>
  </si>
  <si>
    <t>T73-G</t>
  </si>
  <si>
    <t>T69-G</t>
  </si>
  <si>
    <t>T72-G</t>
  </si>
  <si>
    <t>T71-G</t>
  </si>
  <si>
    <t>T70-M</t>
  </si>
  <si>
    <t>T73-M</t>
  </si>
  <si>
    <t>T69-M</t>
  </si>
  <si>
    <t>T72-M</t>
  </si>
  <si>
    <t>T71-M</t>
  </si>
  <si>
    <t>T113</t>
  </si>
  <si>
    <t>T113-F</t>
  </si>
  <si>
    <t>T114</t>
  </si>
  <si>
    <t>T114-F</t>
  </si>
  <si>
    <t>T115</t>
  </si>
  <si>
    <t>T115-F</t>
  </si>
  <si>
    <t>T116</t>
  </si>
  <si>
    <t>T116-F</t>
  </si>
  <si>
    <t>T117</t>
  </si>
  <si>
    <t>T117-F</t>
  </si>
  <si>
    <t>T94</t>
  </si>
  <si>
    <t>T94-F</t>
  </si>
  <si>
    <t>T94-G</t>
  </si>
  <si>
    <t>T47-M</t>
  </si>
  <si>
    <t>T56-M</t>
  </si>
  <si>
    <t>T57-M</t>
  </si>
  <si>
    <t>T46-M</t>
  </si>
  <si>
    <t>T49-M</t>
  </si>
  <si>
    <t>T51-M</t>
  </si>
  <si>
    <t>T52-M</t>
  </si>
  <si>
    <t>T55-M</t>
  </si>
  <si>
    <t>T58-M</t>
  </si>
  <si>
    <t>T94-M</t>
  </si>
  <si>
    <t>T110-M</t>
  </si>
  <si>
    <t>T111-M</t>
  </si>
  <si>
    <t>T112-M</t>
  </si>
  <si>
    <t>T114-M</t>
  </si>
  <si>
    <t>T59</t>
  </si>
  <si>
    <t>T59-F</t>
  </si>
  <si>
    <t>T63</t>
  </si>
  <si>
    <t>T63-F</t>
  </si>
  <si>
    <t>T60</t>
  </si>
  <si>
    <t>T60-F</t>
  </si>
  <si>
    <t>T61</t>
  </si>
  <si>
    <t>T61-F</t>
  </si>
  <si>
    <t>T62</t>
  </si>
  <si>
    <t>T62-F</t>
  </si>
  <si>
    <t>T59-G</t>
  </si>
  <si>
    <t>T63-G</t>
  </si>
  <si>
    <t>T60-G</t>
  </si>
  <si>
    <t>T61-G</t>
  </si>
  <si>
    <t>T62-G</t>
  </si>
  <si>
    <t>T59-M</t>
  </si>
  <si>
    <t>T63-M</t>
  </si>
  <si>
    <t>T60-M</t>
  </si>
  <si>
    <t>T61-M</t>
  </si>
  <si>
    <t>T62-M</t>
  </si>
  <si>
    <t>T120</t>
  </si>
  <si>
    <t>T120-F</t>
  </si>
  <si>
    <t>T18-G</t>
  </si>
  <si>
    <t>T20-G</t>
  </si>
  <si>
    <t>T15-M</t>
  </si>
  <si>
    <t>T16-M</t>
  </si>
  <si>
    <t>T17-M</t>
  </si>
  <si>
    <t>T19-M</t>
  </si>
  <si>
    <t>T21-M</t>
  </si>
  <si>
    <t>T27-M</t>
  </si>
  <si>
    <t>T14-M</t>
  </si>
  <si>
    <t>T23-M</t>
  </si>
  <si>
    <t>T25-M</t>
  </si>
  <si>
    <t>T26-M</t>
  </si>
  <si>
    <t>T13-M</t>
  </si>
  <si>
    <t>T118-M</t>
  </si>
  <si>
    <t>T120-M</t>
  </si>
  <si>
    <t>T64</t>
  </si>
  <si>
    <t>T64-F</t>
  </si>
  <si>
    <t>T65</t>
  </si>
  <si>
    <t>T65-F</t>
  </si>
  <si>
    <t>T66</t>
  </si>
  <si>
    <t>T66-F</t>
  </si>
  <si>
    <t>T67</t>
  </si>
  <si>
    <t>T67-F</t>
  </si>
  <si>
    <t>T68</t>
  </si>
  <si>
    <t>T68-F</t>
  </si>
  <si>
    <t>T64-G</t>
  </si>
  <si>
    <t>T65-G</t>
  </si>
  <si>
    <t>T66-G</t>
  </si>
  <si>
    <t>T67-G</t>
  </si>
  <si>
    <t>T68-G</t>
  </si>
  <si>
    <t>T65-M</t>
  </si>
  <si>
    <t>T66-M</t>
  </si>
  <si>
    <t>T67-M</t>
  </si>
  <si>
    <t>T68-M</t>
  </si>
  <si>
    <t>T64-M</t>
  </si>
  <si>
    <t>T42-F</t>
  </si>
  <si>
    <t>T89-F</t>
  </si>
  <si>
    <t>T90-F</t>
  </si>
  <si>
    <t>T91-F</t>
  </si>
  <si>
    <t>T92-F</t>
  </si>
  <si>
    <t>T93-F</t>
  </si>
  <si>
    <t>T42-G</t>
  </si>
  <si>
    <t>T89-G</t>
  </si>
  <si>
    <t>T90-G</t>
  </si>
  <si>
    <t>T91-G</t>
  </si>
  <si>
    <t>T92-G</t>
  </si>
  <si>
    <t>T93-G</t>
  </si>
  <si>
    <t>T29-M</t>
  </si>
  <si>
    <t>T30-M</t>
  </si>
  <si>
    <t>T31-M</t>
  </si>
  <si>
    <t>T33-M</t>
  </si>
  <si>
    <t>T34-M</t>
  </si>
  <si>
    <t>T35-M</t>
  </si>
  <si>
    <t>T36-M</t>
  </si>
  <si>
    <t>T37-M</t>
  </si>
  <si>
    <t>T38-M</t>
  </si>
  <si>
    <t>T39-M</t>
  </si>
  <si>
    <t>T40-M</t>
  </si>
  <si>
    <t>T41-M</t>
  </si>
  <si>
    <t>T42-M</t>
  </si>
  <si>
    <t>T89-M</t>
  </si>
  <si>
    <t>T90-M</t>
  </si>
  <si>
    <t>T91-M</t>
  </si>
  <si>
    <t>T92-M</t>
  </si>
  <si>
    <t>T93-M</t>
  </si>
  <si>
    <t>ID</t>
  </si>
  <si>
    <t>TRT</t>
  </si>
  <si>
    <t>gallo-DO-1</t>
  </si>
  <si>
    <t>gallo-OA-1</t>
  </si>
  <si>
    <t>gallo-OW-1</t>
  </si>
  <si>
    <t>tross-DO-1</t>
  </si>
  <si>
    <t>tross-OA-1</t>
  </si>
  <si>
    <t>tross-OW-1</t>
  </si>
  <si>
    <t>G40</t>
  </si>
  <si>
    <t>G41</t>
  </si>
  <si>
    <t>G42</t>
  </si>
  <si>
    <t>G43</t>
  </si>
  <si>
    <t>G44</t>
  </si>
  <si>
    <t>T121</t>
  </si>
  <si>
    <t>T122</t>
  </si>
  <si>
    <t>T123</t>
  </si>
  <si>
    <t>T124</t>
  </si>
  <si>
    <t>T89</t>
  </si>
  <si>
    <t>T90</t>
  </si>
  <si>
    <t>T91</t>
  </si>
  <si>
    <t>T92</t>
  </si>
  <si>
    <t>T93</t>
  </si>
  <si>
    <t>G19</t>
  </si>
  <si>
    <t>gallo-OA-</t>
  </si>
  <si>
    <t>G20</t>
  </si>
  <si>
    <t>gallo-OW-</t>
  </si>
  <si>
    <t>G22</t>
  </si>
  <si>
    <t>G23</t>
  </si>
  <si>
    <t>G27</t>
  </si>
  <si>
    <t>gallo-DO-</t>
  </si>
  <si>
    <t>T125</t>
  </si>
  <si>
    <t>T13</t>
  </si>
  <si>
    <t>tross-OA-</t>
  </si>
  <si>
    <t>T18</t>
  </si>
  <si>
    <t>T20</t>
  </si>
  <si>
    <t>T22</t>
  </si>
  <si>
    <t>T24</t>
  </si>
  <si>
    <t>T28</t>
  </si>
  <si>
    <t>tross-OW-</t>
  </si>
  <si>
    <t>T32</t>
  </si>
  <si>
    <t>T43</t>
  </si>
  <si>
    <t>tross-DO-</t>
  </si>
  <si>
    <t>T44</t>
  </si>
  <si>
    <t>T45</t>
  </si>
  <si>
    <t>T48</t>
  </si>
  <si>
    <t>T50</t>
  </si>
  <si>
    <t>T53</t>
  </si>
  <si>
    <t>T54</t>
  </si>
  <si>
    <t>G25</t>
  </si>
  <si>
    <t>T42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</si>
</sst>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t George" id="{80d7039b-c774-4e68-9c6f-0f39d9b55f7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12-01T23:23:56.00" personId="{80d7039b-c774-4e68-9c6f-0f39d9b55f72}" id="{4f13e845-8e17-4658-9a51-e489352cd64d}" done="0">
    <x18tc:text xml:space="preserve">-80 inventory link:
https://docs.google.com/spreadsheets/d/1Qsvz3QTURlPF_hX05BQxjom3484WuMfqQ1ILl9LEljU/edit#gid=2006985773</x18tc:text>
    <x18tc:extLst>
      <ext uri="{F7C98A9C-CBB3-438F-8F68-D28B6AF4A901}">
        <xltc2:checksum/>
        <xltc2:hyperlink startIndex="21" length="103" url="https://docs.google.com/spreadsheets/d/1Qsvz3QTURlPF_hX05BQxjom3484WuMfqQ1ILl9LEljU/edit#gid=2006985773"/>
      </ext>
    </x18tc:extLst>
  </x18tc:threadedComment>
  <x18tc:threadedComment ref="C1" dT="2021-12-06T05:53:44.00" personId="{80d7039b-c774-4e68-9c6f-0f39d9b55f72}" id="{2b1f0898-2ec0-4ee9-912c-81e799222eda}" done="0">
    <x18tc:text xml:space="preserve">-80 inventory link:
https://docs.google.com/spreadsheets/d/1Qsvz3QTURlPF_hX05BQxjom3484WuMfqQ1ILl9LEljU/edit#gid=2006985773</x18tc:text>
    <x18tc:extLst>
      <ext uri="{F7C98A9C-CBB3-438F-8F68-D28B6AF4A901}">
        <xltc2:checksum/>
        <xltc2:hyperlink startIndex="21" length="103" url="https://docs.google.com/spreadsheets/d/1Qsvz3QTURlPF_hX05BQxjom3484WuMfqQ1ILl9LEljU/edit#gid=2006985773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63"/>
    <col customWidth="1" min="3" max="3" width="16.25"/>
    <col customWidth="1" min="4" max="4" width="14.13"/>
    <col customWidth="1" min="5" max="5" width="9.63"/>
    <col customWidth="1" min="6" max="6" width="11.88"/>
    <col customWidth="1" min="7" max="7" width="8.38"/>
    <col customWidth="1" min="8" max="8" width="11.63"/>
    <col customWidth="1" min="9" max="9" width="15.0"/>
    <col customWidth="1" min="10" max="10" width="13.13"/>
    <col customWidth="1" min="11" max="11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2">
        <v>121.0</v>
      </c>
      <c r="B2" s="2" t="s">
        <v>11</v>
      </c>
      <c r="C2" s="3" t="s">
        <v>12</v>
      </c>
      <c r="D2" s="2">
        <v>1.0</v>
      </c>
      <c r="E2" s="4" t="str">
        <f t="shared" ref="E2:E5" si="1">if(left(F2,1)="G","gallo","tross")</f>
        <v>gallo</v>
      </c>
      <c r="F2" s="4" t="s">
        <v>13</v>
      </c>
      <c r="G2" s="2" t="s">
        <v>14</v>
      </c>
      <c r="H2" s="2" t="s">
        <v>15</v>
      </c>
      <c r="I2" s="5" t="s">
        <v>16</v>
      </c>
      <c r="J2" s="4">
        <f>vlookup(F2,'mussel-ID_key'!A:C,3,false)</f>
        <v>0</v>
      </c>
      <c r="K2" s="5"/>
    </row>
    <row r="3" hidden="1">
      <c r="A3" s="2">
        <v>133.0</v>
      </c>
      <c r="B3" s="2" t="s">
        <v>17</v>
      </c>
      <c r="C3" s="2" t="s">
        <v>12</v>
      </c>
      <c r="D3" s="2">
        <v>1.0</v>
      </c>
      <c r="E3" s="4" t="str">
        <f t="shared" si="1"/>
        <v>gallo</v>
      </c>
      <c r="F3" s="4" t="s">
        <v>13</v>
      </c>
      <c r="G3" s="2" t="s">
        <v>18</v>
      </c>
      <c r="H3" s="2" t="s">
        <v>15</v>
      </c>
      <c r="I3" s="5" t="s">
        <v>19</v>
      </c>
      <c r="J3" s="4">
        <f>vlookup(F3,'mussel-ID_key'!A:C,3,false)</f>
        <v>0</v>
      </c>
      <c r="K3" s="5"/>
    </row>
    <row r="4" hidden="1">
      <c r="A4" s="2">
        <v>122.0</v>
      </c>
      <c r="B4" s="2" t="s">
        <v>20</v>
      </c>
      <c r="C4" s="3" t="s">
        <v>12</v>
      </c>
      <c r="D4" s="2">
        <v>1.0</v>
      </c>
      <c r="E4" s="4" t="str">
        <f t="shared" si="1"/>
        <v>gallo</v>
      </c>
      <c r="F4" s="4" t="s">
        <v>21</v>
      </c>
      <c r="G4" s="2" t="s">
        <v>14</v>
      </c>
      <c r="H4" s="2" t="s">
        <v>15</v>
      </c>
      <c r="I4" s="5" t="s">
        <v>16</v>
      </c>
      <c r="J4" s="4">
        <f>vlookup(F4,'mussel-ID_key'!A:C,3,false)</f>
        <v>0</v>
      </c>
      <c r="K4" s="5"/>
    </row>
    <row r="5" hidden="1">
      <c r="A5" s="2">
        <v>134.0</v>
      </c>
      <c r="B5" s="2" t="s">
        <v>22</v>
      </c>
      <c r="C5" s="2" t="s">
        <v>12</v>
      </c>
      <c r="D5" s="2">
        <v>1.0</v>
      </c>
      <c r="E5" s="4" t="str">
        <f t="shared" si="1"/>
        <v>gallo</v>
      </c>
      <c r="F5" s="4" t="s">
        <v>21</v>
      </c>
      <c r="G5" s="2" t="s">
        <v>18</v>
      </c>
      <c r="H5" s="2" t="s">
        <v>15</v>
      </c>
      <c r="I5" s="5" t="s">
        <v>19</v>
      </c>
      <c r="J5" s="4">
        <f>vlookup(F5,'mussel-ID_key'!A:C,3,false)</f>
        <v>0</v>
      </c>
      <c r="K5" s="5"/>
    </row>
    <row r="6" hidden="1">
      <c r="A6" s="2">
        <v>123.0</v>
      </c>
      <c r="B6" s="2" t="s">
        <v>23</v>
      </c>
      <c r="C6" s="3" t="s">
        <v>12</v>
      </c>
      <c r="D6" s="2">
        <v>1.0</v>
      </c>
      <c r="E6" s="2" t="s">
        <v>24</v>
      </c>
      <c r="F6" s="2" t="s">
        <v>25</v>
      </c>
      <c r="G6" s="2" t="s">
        <v>14</v>
      </c>
      <c r="H6" s="2" t="s">
        <v>15</v>
      </c>
      <c r="I6" s="5" t="s">
        <v>16</v>
      </c>
      <c r="J6" s="4">
        <f>vlookup(F6,'mussel-ID_key'!A:C,3,false)</f>
        <v>0</v>
      </c>
      <c r="K6" s="5"/>
    </row>
    <row r="7" hidden="1">
      <c r="A7" s="2">
        <v>135.0</v>
      </c>
      <c r="B7" s="2" t="s">
        <v>26</v>
      </c>
      <c r="C7" s="2" t="s">
        <v>12</v>
      </c>
      <c r="D7" s="2">
        <v>1.0</v>
      </c>
      <c r="E7" s="4" t="str">
        <f t="shared" ref="E7:E132" si="2">if(left(F7,1)="G","gallo","tross")</f>
        <v>gallo</v>
      </c>
      <c r="F7" s="4" t="s">
        <v>25</v>
      </c>
      <c r="G7" s="2" t="s">
        <v>18</v>
      </c>
      <c r="H7" s="2" t="s">
        <v>15</v>
      </c>
      <c r="I7" s="5" t="s">
        <v>19</v>
      </c>
      <c r="J7" s="4">
        <f>vlookup(F7,'mussel-ID_key'!A:C,3,false)</f>
        <v>0</v>
      </c>
      <c r="K7" s="5"/>
    </row>
    <row r="8" hidden="1">
      <c r="A8" s="2">
        <v>124.0</v>
      </c>
      <c r="B8" s="2" t="s">
        <v>27</v>
      </c>
      <c r="C8" s="2" t="s">
        <v>12</v>
      </c>
      <c r="D8" s="2">
        <v>1.0</v>
      </c>
      <c r="E8" s="4" t="str">
        <f t="shared" si="2"/>
        <v>gallo</v>
      </c>
      <c r="F8" s="4" t="s">
        <v>28</v>
      </c>
      <c r="G8" s="2" t="s">
        <v>14</v>
      </c>
      <c r="H8" s="2" t="s">
        <v>15</v>
      </c>
      <c r="I8" s="5" t="s">
        <v>16</v>
      </c>
      <c r="J8" s="4">
        <f>vlookup(F8,'mussel-ID_key'!A:C,3,false)</f>
        <v>0</v>
      </c>
      <c r="K8" s="5"/>
    </row>
    <row r="9" hidden="1">
      <c r="A9" s="2">
        <v>136.0</v>
      </c>
      <c r="B9" s="2" t="s">
        <v>29</v>
      </c>
      <c r="C9" s="2" t="s">
        <v>12</v>
      </c>
      <c r="D9" s="2">
        <v>1.0</v>
      </c>
      <c r="E9" s="4" t="str">
        <f t="shared" si="2"/>
        <v>gallo</v>
      </c>
      <c r="F9" s="4" t="s">
        <v>28</v>
      </c>
      <c r="G9" s="2" t="s">
        <v>18</v>
      </c>
      <c r="H9" s="2" t="s">
        <v>15</v>
      </c>
      <c r="I9" s="5" t="s">
        <v>19</v>
      </c>
      <c r="J9" s="4">
        <f>vlookup(F9,'mussel-ID_key'!A:C,3,false)</f>
        <v>0</v>
      </c>
      <c r="K9" s="5"/>
    </row>
    <row r="10" hidden="1">
      <c r="A10" s="2">
        <v>125.0</v>
      </c>
      <c r="B10" s="2" t="s">
        <v>30</v>
      </c>
      <c r="C10" s="2" t="s">
        <v>12</v>
      </c>
      <c r="D10" s="2">
        <v>1.0</v>
      </c>
      <c r="E10" s="4" t="str">
        <f t="shared" si="2"/>
        <v>gallo</v>
      </c>
      <c r="F10" s="4" t="s">
        <v>31</v>
      </c>
      <c r="G10" s="2" t="s">
        <v>14</v>
      </c>
      <c r="H10" s="2" t="s">
        <v>15</v>
      </c>
      <c r="I10" s="5" t="s">
        <v>16</v>
      </c>
      <c r="J10" s="4">
        <f>vlookup(F10,'mussel-ID_key'!A:C,3,false)</f>
        <v>0</v>
      </c>
      <c r="K10" s="5"/>
    </row>
    <row r="11" hidden="1">
      <c r="A11" s="2">
        <v>137.0</v>
      </c>
      <c r="B11" s="2" t="s">
        <v>32</v>
      </c>
      <c r="C11" s="2" t="s">
        <v>12</v>
      </c>
      <c r="D11" s="2">
        <v>1.0</v>
      </c>
      <c r="E11" s="4" t="str">
        <f t="shared" si="2"/>
        <v>gallo</v>
      </c>
      <c r="F11" s="4" t="s">
        <v>31</v>
      </c>
      <c r="G11" s="2" t="s">
        <v>18</v>
      </c>
      <c r="H11" s="2" t="s">
        <v>15</v>
      </c>
      <c r="I11" s="5" t="s">
        <v>19</v>
      </c>
      <c r="J11" s="4">
        <f>vlookup(F11,'mussel-ID_key'!A:C,3,false)</f>
        <v>0</v>
      </c>
      <c r="K11" s="5"/>
    </row>
    <row r="12" hidden="1">
      <c r="A12" s="2">
        <v>126.0</v>
      </c>
      <c r="B12" s="2" t="s">
        <v>33</v>
      </c>
      <c r="C12" s="2" t="s">
        <v>12</v>
      </c>
      <c r="D12" s="2">
        <v>1.0</v>
      </c>
      <c r="E12" s="4" t="str">
        <f t="shared" si="2"/>
        <v>gallo</v>
      </c>
      <c r="F12" s="4" t="s">
        <v>34</v>
      </c>
      <c r="G12" s="2" t="s">
        <v>14</v>
      </c>
      <c r="H12" s="2" t="s">
        <v>15</v>
      </c>
      <c r="I12" s="5" t="s">
        <v>16</v>
      </c>
      <c r="J12" s="4">
        <f>vlookup(F12,'mussel-ID_key'!A:C,3,false)</f>
        <v>0</v>
      </c>
      <c r="K12" s="5"/>
    </row>
    <row r="13" hidden="1">
      <c r="A13" s="2">
        <v>138.0</v>
      </c>
      <c r="B13" s="2" t="s">
        <v>35</v>
      </c>
      <c r="C13" s="2" t="s">
        <v>12</v>
      </c>
      <c r="D13" s="2">
        <v>1.0</v>
      </c>
      <c r="E13" s="4" t="str">
        <f t="shared" si="2"/>
        <v>gallo</v>
      </c>
      <c r="F13" s="4" t="s">
        <v>34</v>
      </c>
      <c r="G13" s="2" t="s">
        <v>18</v>
      </c>
      <c r="H13" s="2" t="s">
        <v>15</v>
      </c>
      <c r="I13" s="5" t="s">
        <v>19</v>
      </c>
      <c r="J13" s="4">
        <f>vlookup(F13,'mussel-ID_key'!A:C,3,false)</f>
        <v>0</v>
      </c>
      <c r="K13" s="5"/>
    </row>
    <row r="14" hidden="1">
      <c r="A14" s="2">
        <v>127.0</v>
      </c>
      <c r="B14" s="2" t="s">
        <v>36</v>
      </c>
      <c r="C14" s="2" t="s">
        <v>12</v>
      </c>
      <c r="D14" s="2">
        <v>1.0</v>
      </c>
      <c r="E14" s="4" t="str">
        <f t="shared" si="2"/>
        <v>gallo</v>
      </c>
      <c r="F14" s="4" t="s">
        <v>37</v>
      </c>
      <c r="G14" s="2" t="s">
        <v>14</v>
      </c>
      <c r="H14" s="2" t="s">
        <v>15</v>
      </c>
      <c r="I14" s="5" t="s">
        <v>16</v>
      </c>
      <c r="J14" s="4">
        <f>vlookup(F14,'mussel-ID_key'!A:C,3,false)</f>
        <v>0</v>
      </c>
      <c r="K14" s="5"/>
    </row>
    <row r="15" hidden="1">
      <c r="A15" s="2">
        <v>139.0</v>
      </c>
      <c r="B15" s="2" t="s">
        <v>38</v>
      </c>
      <c r="C15" s="2" t="s">
        <v>12</v>
      </c>
      <c r="D15" s="2">
        <v>1.0</v>
      </c>
      <c r="E15" s="4" t="str">
        <f t="shared" si="2"/>
        <v>gallo</v>
      </c>
      <c r="F15" s="4" t="s">
        <v>37</v>
      </c>
      <c r="G15" s="2" t="s">
        <v>18</v>
      </c>
      <c r="H15" s="2" t="s">
        <v>15</v>
      </c>
      <c r="I15" s="5" t="s">
        <v>19</v>
      </c>
      <c r="J15" s="4">
        <f>vlookup(F15,'mussel-ID_key'!A:C,3,false)</f>
        <v>0</v>
      </c>
      <c r="K15" s="5"/>
    </row>
    <row r="16" hidden="1">
      <c r="A16" s="2">
        <v>128.0</v>
      </c>
      <c r="B16" s="2" t="s">
        <v>39</v>
      </c>
      <c r="C16" s="2" t="s">
        <v>12</v>
      </c>
      <c r="D16" s="2">
        <v>1.0</v>
      </c>
      <c r="E16" s="4" t="str">
        <f t="shared" si="2"/>
        <v>gallo</v>
      </c>
      <c r="F16" s="2" t="s">
        <v>40</v>
      </c>
      <c r="G16" s="2" t="s">
        <v>14</v>
      </c>
      <c r="H16" s="2" t="s">
        <v>15</v>
      </c>
      <c r="I16" s="5" t="s">
        <v>16</v>
      </c>
      <c r="J16" s="4">
        <f>vlookup(F16,'mussel-ID_key'!A:C,3,false)</f>
        <v>0</v>
      </c>
      <c r="K16" s="5"/>
    </row>
    <row r="17" hidden="1">
      <c r="A17" s="2">
        <v>140.0</v>
      </c>
      <c r="B17" s="2" t="s">
        <v>41</v>
      </c>
      <c r="C17" s="2" t="s">
        <v>12</v>
      </c>
      <c r="D17" s="2">
        <v>1.0</v>
      </c>
      <c r="E17" s="4" t="str">
        <f t="shared" si="2"/>
        <v>gallo</v>
      </c>
      <c r="F17" s="4" t="s">
        <v>40</v>
      </c>
      <c r="G17" s="2" t="s">
        <v>18</v>
      </c>
      <c r="H17" s="2" t="s">
        <v>15</v>
      </c>
      <c r="I17" s="5" t="s">
        <v>19</v>
      </c>
      <c r="J17" s="4">
        <f>vlookup(F17,'mussel-ID_key'!A:C,3,false)</f>
        <v>0</v>
      </c>
      <c r="K17" s="5"/>
    </row>
    <row r="18" hidden="1">
      <c r="A18" s="2">
        <v>129.0</v>
      </c>
      <c r="B18" s="2" t="s">
        <v>42</v>
      </c>
      <c r="C18" s="2" t="s">
        <v>12</v>
      </c>
      <c r="D18" s="2">
        <v>1.0</v>
      </c>
      <c r="E18" s="4" t="str">
        <f t="shared" si="2"/>
        <v>gallo</v>
      </c>
      <c r="F18" s="4" t="s">
        <v>43</v>
      </c>
      <c r="G18" s="2" t="s">
        <v>14</v>
      </c>
      <c r="H18" s="2" t="s">
        <v>15</v>
      </c>
      <c r="I18" s="5" t="s">
        <v>16</v>
      </c>
      <c r="J18" s="4">
        <f>vlookup(F18,'mussel-ID_key'!A:C,3,false)</f>
        <v>0</v>
      </c>
      <c r="K18" s="5"/>
    </row>
    <row r="19" hidden="1">
      <c r="A19" s="2">
        <v>141.0</v>
      </c>
      <c r="B19" s="2" t="s">
        <v>44</v>
      </c>
      <c r="C19" s="2" t="s">
        <v>12</v>
      </c>
      <c r="D19" s="2">
        <v>1.0</v>
      </c>
      <c r="E19" s="4" t="str">
        <f t="shared" si="2"/>
        <v>gallo</v>
      </c>
      <c r="F19" s="4" t="s">
        <v>43</v>
      </c>
      <c r="G19" s="2" t="s">
        <v>18</v>
      </c>
      <c r="H19" s="2" t="s">
        <v>15</v>
      </c>
      <c r="I19" s="5" t="s">
        <v>19</v>
      </c>
      <c r="J19" s="4">
        <f>vlookup(F19,'mussel-ID_key'!A:C,3,false)</f>
        <v>0</v>
      </c>
      <c r="K19" s="5"/>
    </row>
    <row r="20" hidden="1">
      <c r="A20" s="2">
        <v>130.0</v>
      </c>
      <c r="B20" s="2" t="s">
        <v>45</v>
      </c>
      <c r="C20" s="2" t="s">
        <v>12</v>
      </c>
      <c r="D20" s="2">
        <v>1.0</v>
      </c>
      <c r="E20" s="4" t="str">
        <f t="shared" si="2"/>
        <v>gallo</v>
      </c>
      <c r="F20" s="4" t="s">
        <v>46</v>
      </c>
      <c r="G20" s="2" t="s">
        <v>14</v>
      </c>
      <c r="H20" s="2" t="s">
        <v>15</v>
      </c>
      <c r="I20" s="5" t="s">
        <v>16</v>
      </c>
      <c r="J20" s="4">
        <f>vlookup(F20,'mussel-ID_key'!A:C,3,false)</f>
        <v>0</v>
      </c>
      <c r="K20" s="5"/>
    </row>
    <row r="21" hidden="1">
      <c r="A21" s="2">
        <v>142.0</v>
      </c>
      <c r="B21" s="2" t="s">
        <v>47</v>
      </c>
      <c r="C21" s="2" t="s">
        <v>12</v>
      </c>
      <c r="D21" s="2">
        <v>1.0</v>
      </c>
      <c r="E21" s="4" t="str">
        <f t="shared" si="2"/>
        <v>gallo</v>
      </c>
      <c r="F21" s="4" t="s">
        <v>46</v>
      </c>
      <c r="G21" s="2" t="s">
        <v>18</v>
      </c>
      <c r="H21" s="2" t="s">
        <v>15</v>
      </c>
      <c r="I21" s="5" t="s">
        <v>19</v>
      </c>
      <c r="J21" s="4">
        <f>vlookup(F21,'mussel-ID_key'!A:C,3,false)</f>
        <v>0</v>
      </c>
      <c r="K21" s="5"/>
    </row>
    <row r="22" hidden="1">
      <c r="A22" s="2">
        <v>131.0</v>
      </c>
      <c r="B22" s="2" t="s">
        <v>48</v>
      </c>
      <c r="C22" s="2" t="s">
        <v>12</v>
      </c>
      <c r="D22" s="2">
        <v>1.0</v>
      </c>
      <c r="E22" s="4" t="str">
        <f t="shared" si="2"/>
        <v>gallo</v>
      </c>
      <c r="F22" s="4" t="s">
        <v>49</v>
      </c>
      <c r="G22" s="2" t="s">
        <v>14</v>
      </c>
      <c r="H22" s="2" t="s">
        <v>15</v>
      </c>
      <c r="I22" s="5" t="s">
        <v>16</v>
      </c>
      <c r="J22" s="4">
        <f>vlookup(F22,'mussel-ID_key'!A:C,3,false)</f>
        <v>0</v>
      </c>
      <c r="K22" s="5"/>
    </row>
    <row r="23" hidden="1">
      <c r="A23" s="2">
        <v>143.0</v>
      </c>
      <c r="B23" s="2" t="s">
        <v>50</v>
      </c>
      <c r="C23" s="2" t="s">
        <v>12</v>
      </c>
      <c r="D23" s="2">
        <v>1.0</v>
      </c>
      <c r="E23" s="4" t="str">
        <f t="shared" si="2"/>
        <v>gallo</v>
      </c>
      <c r="F23" s="4" t="s">
        <v>49</v>
      </c>
      <c r="G23" s="2" t="s">
        <v>18</v>
      </c>
      <c r="H23" s="2" t="s">
        <v>15</v>
      </c>
      <c r="I23" s="5" t="s">
        <v>19</v>
      </c>
      <c r="J23" s="4">
        <f>vlookup(F23,'mussel-ID_key'!A:C,3,false)</f>
        <v>0</v>
      </c>
      <c r="K23" s="5"/>
    </row>
    <row r="24" hidden="1">
      <c r="A24" s="2">
        <v>132.0</v>
      </c>
      <c r="B24" s="2" t="s">
        <v>51</v>
      </c>
      <c r="C24" s="2" t="s">
        <v>12</v>
      </c>
      <c r="D24" s="2">
        <v>1.0</v>
      </c>
      <c r="E24" s="4" t="str">
        <f t="shared" si="2"/>
        <v>gallo</v>
      </c>
      <c r="F24" s="4" t="s">
        <v>52</v>
      </c>
      <c r="G24" s="2" t="s">
        <v>14</v>
      </c>
      <c r="H24" s="2" t="s">
        <v>15</v>
      </c>
      <c r="I24" s="5" t="s">
        <v>16</v>
      </c>
      <c r="J24" s="4">
        <f>vlookup(F24,'mussel-ID_key'!A:C,3,false)</f>
        <v>0</v>
      </c>
      <c r="K24" s="5"/>
    </row>
    <row r="25" hidden="1">
      <c r="A25" s="2">
        <v>144.0</v>
      </c>
      <c r="B25" s="2" t="s">
        <v>53</v>
      </c>
      <c r="C25" s="2" t="s">
        <v>12</v>
      </c>
      <c r="D25" s="2">
        <v>1.0</v>
      </c>
      <c r="E25" s="4" t="str">
        <f t="shared" si="2"/>
        <v>gallo</v>
      </c>
      <c r="F25" s="4" t="s">
        <v>52</v>
      </c>
      <c r="G25" s="2" t="s">
        <v>18</v>
      </c>
      <c r="H25" s="2" t="s">
        <v>15</v>
      </c>
      <c r="I25" s="5" t="s">
        <v>19</v>
      </c>
      <c r="J25" s="4">
        <f>vlookup(F25,'mussel-ID_key'!A:C,3,false)</f>
        <v>0</v>
      </c>
      <c r="K25" s="5"/>
    </row>
    <row r="26" hidden="1">
      <c r="A26" s="2">
        <v>193.0</v>
      </c>
      <c r="B26" s="6" t="s">
        <v>54</v>
      </c>
      <c r="C26" s="3" t="s">
        <v>55</v>
      </c>
      <c r="D26" s="2">
        <v>4.0</v>
      </c>
      <c r="E26" s="4" t="str">
        <f t="shared" si="2"/>
        <v>gallo</v>
      </c>
      <c r="F26" s="5" t="s">
        <v>56</v>
      </c>
      <c r="G26" s="2" t="s">
        <v>14</v>
      </c>
      <c r="H26" s="2" t="s">
        <v>57</v>
      </c>
      <c r="I26" s="5" t="s">
        <v>58</v>
      </c>
      <c r="J26" s="4">
        <f>vlookup(F26,'mussel-ID_key'!A:C,3,false)</f>
        <v>1</v>
      </c>
      <c r="K26" s="5"/>
    </row>
    <row r="27" hidden="1">
      <c r="A27" s="2">
        <v>202.0</v>
      </c>
      <c r="B27" s="6" t="s">
        <v>59</v>
      </c>
      <c r="C27" s="3" t="s">
        <v>60</v>
      </c>
      <c r="D27" s="2">
        <v>3.0</v>
      </c>
      <c r="E27" s="4" t="str">
        <f t="shared" si="2"/>
        <v>gallo</v>
      </c>
      <c r="F27" s="5" t="s">
        <v>56</v>
      </c>
      <c r="G27" s="5" t="s">
        <v>18</v>
      </c>
      <c r="H27" s="2" t="s">
        <v>57</v>
      </c>
      <c r="I27" s="5" t="s">
        <v>61</v>
      </c>
      <c r="J27" s="4">
        <f>vlookup(F27,'mussel-ID_key'!A:C,3,false)</f>
        <v>1</v>
      </c>
      <c r="K27" s="5"/>
    </row>
    <row r="28" hidden="1">
      <c r="A28" s="2">
        <v>194.0</v>
      </c>
      <c r="B28" s="6" t="s">
        <v>62</v>
      </c>
      <c r="C28" s="3" t="s">
        <v>55</v>
      </c>
      <c r="D28" s="2">
        <v>4.0</v>
      </c>
      <c r="E28" s="4" t="str">
        <f t="shared" si="2"/>
        <v>gallo</v>
      </c>
      <c r="F28" s="5" t="s">
        <v>63</v>
      </c>
      <c r="G28" s="2" t="s">
        <v>14</v>
      </c>
      <c r="H28" s="2" t="s">
        <v>57</v>
      </c>
      <c r="I28" s="5" t="s">
        <v>58</v>
      </c>
      <c r="J28" s="4">
        <f>vlookup(F28,'mussel-ID_key'!A:C,3,false)</f>
        <v>1</v>
      </c>
      <c r="K28" s="5"/>
    </row>
    <row r="29" hidden="1">
      <c r="A29" s="2">
        <v>203.0</v>
      </c>
      <c r="B29" s="6" t="s">
        <v>64</v>
      </c>
      <c r="C29" s="3" t="s">
        <v>60</v>
      </c>
      <c r="D29" s="2">
        <v>3.0</v>
      </c>
      <c r="E29" s="4" t="str">
        <f t="shared" si="2"/>
        <v>gallo</v>
      </c>
      <c r="F29" s="5" t="s">
        <v>63</v>
      </c>
      <c r="G29" s="5" t="s">
        <v>18</v>
      </c>
      <c r="H29" s="2" t="s">
        <v>57</v>
      </c>
      <c r="I29" s="5" t="s">
        <v>61</v>
      </c>
      <c r="J29" s="4">
        <f>vlookup(F29,'mussel-ID_key'!A:C,3,false)</f>
        <v>1</v>
      </c>
      <c r="K29" s="5"/>
    </row>
    <row r="30" hidden="1">
      <c r="A30" s="2">
        <v>195.0</v>
      </c>
      <c r="B30" s="6" t="s">
        <v>65</v>
      </c>
      <c r="C30" s="2" t="s">
        <v>55</v>
      </c>
      <c r="D30" s="2">
        <v>4.0</v>
      </c>
      <c r="E30" s="4" t="str">
        <f t="shared" si="2"/>
        <v>gallo</v>
      </c>
      <c r="F30" s="5" t="s">
        <v>66</v>
      </c>
      <c r="G30" s="2" t="s">
        <v>14</v>
      </c>
      <c r="H30" s="2" t="s">
        <v>57</v>
      </c>
      <c r="I30" s="5" t="s">
        <v>58</v>
      </c>
      <c r="J30" s="4">
        <f>vlookup(F30,'mussel-ID_key'!A:C,3,false)</f>
        <v>1</v>
      </c>
      <c r="K30" s="5"/>
    </row>
    <row r="31" hidden="1">
      <c r="A31" s="2">
        <v>204.0</v>
      </c>
      <c r="B31" s="2" t="s">
        <v>67</v>
      </c>
      <c r="C31" s="3" t="s">
        <v>60</v>
      </c>
      <c r="D31" s="2">
        <v>3.0</v>
      </c>
      <c r="E31" s="4" t="str">
        <f t="shared" si="2"/>
        <v>gallo</v>
      </c>
      <c r="F31" s="2" t="s">
        <v>66</v>
      </c>
      <c r="G31" s="2" t="s">
        <v>18</v>
      </c>
      <c r="H31" s="2" t="s">
        <v>57</v>
      </c>
      <c r="I31" s="5" t="s">
        <v>61</v>
      </c>
      <c r="J31" s="4">
        <f>vlookup(F31,'mussel-ID_key'!A:C,3,false)</f>
        <v>1</v>
      </c>
      <c r="K31" s="5"/>
    </row>
    <row r="32" hidden="1">
      <c r="A32" s="2">
        <v>196.0</v>
      </c>
      <c r="B32" s="6" t="s">
        <v>68</v>
      </c>
      <c r="C32" s="2" t="s">
        <v>55</v>
      </c>
      <c r="D32" s="2">
        <v>4.0</v>
      </c>
      <c r="E32" s="4" t="str">
        <f t="shared" si="2"/>
        <v>gallo</v>
      </c>
      <c r="F32" s="5" t="s">
        <v>69</v>
      </c>
      <c r="G32" s="2" t="s">
        <v>14</v>
      </c>
      <c r="H32" s="2" t="s">
        <v>57</v>
      </c>
      <c r="I32" s="5" t="s">
        <v>58</v>
      </c>
      <c r="J32" s="4">
        <f>vlookup(F32,'mussel-ID_key'!A:C,3,false)</f>
        <v>1</v>
      </c>
      <c r="K32" s="5"/>
    </row>
    <row r="33" hidden="1">
      <c r="A33" s="2">
        <v>205.0</v>
      </c>
      <c r="B33" s="6" t="s">
        <v>70</v>
      </c>
      <c r="C33" s="2" t="s">
        <v>60</v>
      </c>
      <c r="D33" s="2">
        <v>3.0</v>
      </c>
      <c r="E33" s="4" t="str">
        <f t="shared" si="2"/>
        <v>gallo</v>
      </c>
      <c r="F33" s="5" t="s">
        <v>69</v>
      </c>
      <c r="G33" s="5" t="s">
        <v>18</v>
      </c>
      <c r="H33" s="2" t="s">
        <v>57</v>
      </c>
      <c r="I33" s="5" t="s">
        <v>61</v>
      </c>
      <c r="J33" s="4">
        <f>vlookup(F33,'mussel-ID_key'!A:C,3,false)</f>
        <v>1</v>
      </c>
      <c r="K33" s="5"/>
    </row>
    <row r="34" hidden="1">
      <c r="A34" s="2">
        <v>197.0</v>
      </c>
      <c r="B34" s="6" t="s">
        <v>71</v>
      </c>
      <c r="C34" s="2" t="s">
        <v>55</v>
      </c>
      <c r="D34" s="2">
        <v>4.0</v>
      </c>
      <c r="E34" s="4" t="str">
        <f t="shared" si="2"/>
        <v>gallo</v>
      </c>
      <c r="F34" s="5" t="s">
        <v>72</v>
      </c>
      <c r="G34" s="2" t="s">
        <v>14</v>
      </c>
      <c r="H34" s="2" t="s">
        <v>57</v>
      </c>
      <c r="I34" s="5" t="s">
        <v>58</v>
      </c>
      <c r="J34" s="4">
        <f>vlookup(F34,'mussel-ID_key'!A:C,3,false)</f>
        <v>1</v>
      </c>
      <c r="K34" s="5"/>
    </row>
    <row r="35" hidden="1">
      <c r="A35" s="2">
        <v>206.0</v>
      </c>
      <c r="B35" s="6" t="s">
        <v>73</v>
      </c>
      <c r="C35" s="2" t="s">
        <v>60</v>
      </c>
      <c r="D35" s="2">
        <v>3.0</v>
      </c>
      <c r="E35" s="4" t="str">
        <f t="shared" si="2"/>
        <v>gallo</v>
      </c>
      <c r="F35" s="5" t="s">
        <v>72</v>
      </c>
      <c r="G35" s="5" t="s">
        <v>18</v>
      </c>
      <c r="H35" s="2" t="s">
        <v>57</v>
      </c>
      <c r="I35" s="5" t="s">
        <v>61</v>
      </c>
      <c r="J35" s="4">
        <f>vlookup(F35,'mussel-ID_key'!A:C,3,false)</f>
        <v>1</v>
      </c>
      <c r="K35" s="5"/>
    </row>
    <row r="36" hidden="1">
      <c r="A36" s="2">
        <v>198.0</v>
      </c>
      <c r="B36" s="6" t="s">
        <v>74</v>
      </c>
      <c r="C36" s="2" t="s">
        <v>55</v>
      </c>
      <c r="D36" s="2">
        <v>4.0</v>
      </c>
      <c r="E36" s="4" t="str">
        <f t="shared" si="2"/>
        <v>gallo</v>
      </c>
      <c r="F36" s="5" t="s">
        <v>75</v>
      </c>
      <c r="G36" s="2" t="s">
        <v>14</v>
      </c>
      <c r="H36" s="2" t="s">
        <v>57</v>
      </c>
      <c r="I36" s="5" t="s">
        <v>58</v>
      </c>
      <c r="J36" s="4">
        <f>vlookup(F36,'mussel-ID_key'!A:C,3,false)</f>
        <v>1</v>
      </c>
      <c r="K36" s="5"/>
    </row>
    <row r="37" hidden="1">
      <c r="A37" s="2">
        <v>207.0</v>
      </c>
      <c r="B37" s="6" t="s">
        <v>76</v>
      </c>
      <c r="C37" s="2" t="s">
        <v>60</v>
      </c>
      <c r="D37" s="2">
        <v>3.0</v>
      </c>
      <c r="E37" s="4" t="str">
        <f t="shared" si="2"/>
        <v>gallo</v>
      </c>
      <c r="F37" s="5" t="s">
        <v>75</v>
      </c>
      <c r="G37" s="5" t="s">
        <v>18</v>
      </c>
      <c r="H37" s="2" t="s">
        <v>57</v>
      </c>
      <c r="I37" s="5" t="s">
        <v>61</v>
      </c>
      <c r="J37" s="4">
        <f>vlookup(F37,'mussel-ID_key'!A:C,3,false)</f>
        <v>1</v>
      </c>
      <c r="K37" s="5"/>
    </row>
    <row r="38" hidden="1">
      <c r="A38" s="2">
        <v>211.0</v>
      </c>
      <c r="B38" s="6" t="s">
        <v>77</v>
      </c>
      <c r="C38" s="3" t="s">
        <v>78</v>
      </c>
      <c r="D38" s="2">
        <v>7.0</v>
      </c>
      <c r="E38" s="4" t="str">
        <f t="shared" si="2"/>
        <v>gallo</v>
      </c>
      <c r="F38" s="6" t="s">
        <v>79</v>
      </c>
      <c r="G38" s="2" t="s">
        <v>14</v>
      </c>
      <c r="H38" s="2" t="s">
        <v>80</v>
      </c>
      <c r="I38" s="5" t="s">
        <v>81</v>
      </c>
      <c r="J38" s="4">
        <f>vlookup(F38,'mussel-ID_key'!A:C,3,false)</f>
        <v>1</v>
      </c>
      <c r="K38" s="5"/>
    </row>
    <row r="39" hidden="1">
      <c r="A39" s="2">
        <v>220.0</v>
      </c>
      <c r="B39" s="6" t="s">
        <v>82</v>
      </c>
      <c r="C39" s="3" t="s">
        <v>83</v>
      </c>
      <c r="D39" s="2">
        <v>5.0</v>
      </c>
      <c r="E39" s="4" t="str">
        <f t="shared" si="2"/>
        <v>gallo</v>
      </c>
      <c r="F39" s="5" t="s">
        <v>79</v>
      </c>
      <c r="G39" s="2" t="s">
        <v>18</v>
      </c>
      <c r="H39" s="2" t="s">
        <v>80</v>
      </c>
      <c r="I39" s="5" t="s">
        <v>84</v>
      </c>
      <c r="J39" s="4">
        <f>vlookup(F39,'mussel-ID_key'!A:C,3,false)</f>
        <v>1</v>
      </c>
      <c r="K39" s="5"/>
    </row>
    <row r="40" hidden="1">
      <c r="A40" s="2">
        <v>212.0</v>
      </c>
      <c r="B40" s="6" t="s">
        <v>85</v>
      </c>
      <c r="C40" s="3" t="s">
        <v>78</v>
      </c>
      <c r="D40" s="2">
        <v>7.0</v>
      </c>
      <c r="E40" s="4" t="str">
        <f t="shared" si="2"/>
        <v>gallo</v>
      </c>
      <c r="F40" s="6" t="s">
        <v>86</v>
      </c>
      <c r="G40" s="2" t="s">
        <v>14</v>
      </c>
      <c r="H40" s="2" t="s">
        <v>80</v>
      </c>
      <c r="I40" s="5" t="s">
        <v>81</v>
      </c>
      <c r="J40" s="4">
        <f>vlookup(F40,'mussel-ID_key'!A:C,3,false)</f>
        <v>1</v>
      </c>
      <c r="K40" s="5"/>
    </row>
    <row r="41" hidden="1">
      <c r="A41" s="2">
        <v>221.0</v>
      </c>
      <c r="B41" s="6" t="s">
        <v>87</v>
      </c>
      <c r="C41" s="3" t="s">
        <v>83</v>
      </c>
      <c r="D41" s="2">
        <v>5.0</v>
      </c>
      <c r="E41" s="4" t="str">
        <f t="shared" si="2"/>
        <v>gallo</v>
      </c>
      <c r="F41" s="5" t="s">
        <v>86</v>
      </c>
      <c r="G41" s="2" t="s">
        <v>18</v>
      </c>
      <c r="H41" s="2" t="s">
        <v>80</v>
      </c>
      <c r="I41" s="5" t="s">
        <v>84</v>
      </c>
      <c r="J41" s="4">
        <f>vlookup(F41,'mussel-ID_key'!A:C,3,false)</f>
        <v>1</v>
      </c>
      <c r="K41" s="5"/>
    </row>
    <row r="42" hidden="1">
      <c r="A42" s="2">
        <v>213.0</v>
      </c>
      <c r="B42" s="6" t="s">
        <v>88</v>
      </c>
      <c r="C42" s="2" t="s">
        <v>78</v>
      </c>
      <c r="D42" s="2">
        <v>7.0</v>
      </c>
      <c r="E42" s="4" t="str">
        <f t="shared" si="2"/>
        <v>gallo</v>
      </c>
      <c r="F42" s="6" t="s">
        <v>89</v>
      </c>
      <c r="G42" s="2" t="s">
        <v>14</v>
      </c>
      <c r="H42" s="2" t="s">
        <v>80</v>
      </c>
      <c r="I42" s="5" t="s">
        <v>81</v>
      </c>
      <c r="J42" s="4">
        <f>vlookup(F42,'mussel-ID_key'!A:C,3,false)</f>
        <v>1</v>
      </c>
      <c r="K42" s="5"/>
    </row>
    <row r="43" hidden="1">
      <c r="A43" s="2">
        <v>222.0</v>
      </c>
      <c r="B43" s="6" t="s">
        <v>90</v>
      </c>
      <c r="C43" s="2" t="s">
        <v>83</v>
      </c>
      <c r="D43" s="2">
        <v>5.0</v>
      </c>
      <c r="E43" s="4" t="str">
        <f t="shared" si="2"/>
        <v>gallo</v>
      </c>
      <c r="F43" s="5" t="s">
        <v>89</v>
      </c>
      <c r="G43" s="2" t="s">
        <v>18</v>
      </c>
      <c r="H43" s="2" t="s">
        <v>80</v>
      </c>
      <c r="I43" s="5" t="s">
        <v>84</v>
      </c>
      <c r="J43" s="4">
        <f>vlookup(F43,'mussel-ID_key'!A:C,3,false)</f>
        <v>1</v>
      </c>
      <c r="K43" s="5"/>
    </row>
    <row r="44" hidden="1">
      <c r="A44" s="2">
        <v>169.0</v>
      </c>
      <c r="B44" s="6" t="s">
        <v>91</v>
      </c>
      <c r="C44" s="2" t="s">
        <v>55</v>
      </c>
      <c r="D44" s="2">
        <v>4.0</v>
      </c>
      <c r="E44" s="4" t="str">
        <f t="shared" si="2"/>
        <v>gallo</v>
      </c>
      <c r="F44" s="5" t="s">
        <v>92</v>
      </c>
      <c r="G44" s="2" t="s">
        <v>14</v>
      </c>
      <c r="H44" s="2" t="s">
        <v>93</v>
      </c>
      <c r="I44" s="5" t="s">
        <v>94</v>
      </c>
      <c r="J44" s="4">
        <f>vlookup(F44,'mussel-ID_key'!A:C,3,false)</f>
        <v>0</v>
      </c>
      <c r="K44" s="5"/>
    </row>
    <row r="45" hidden="1">
      <c r="A45" s="2">
        <v>181.0</v>
      </c>
      <c r="B45" s="6" t="s">
        <v>95</v>
      </c>
      <c r="C45" s="2" t="s">
        <v>60</v>
      </c>
      <c r="D45" s="2">
        <v>3.0</v>
      </c>
      <c r="E45" s="4" t="str">
        <f t="shared" si="2"/>
        <v>gallo</v>
      </c>
      <c r="F45" s="5" t="s">
        <v>92</v>
      </c>
      <c r="G45" s="5" t="s">
        <v>18</v>
      </c>
      <c r="H45" s="2" t="s">
        <v>93</v>
      </c>
      <c r="I45" s="5" t="s">
        <v>96</v>
      </c>
      <c r="J45" s="4">
        <f>vlookup(F45,'mussel-ID_key'!A:C,3,false)</f>
        <v>0</v>
      </c>
      <c r="K45" s="5"/>
    </row>
    <row r="46" hidden="1">
      <c r="A46" s="2">
        <v>170.0</v>
      </c>
      <c r="B46" s="6" t="s">
        <v>97</v>
      </c>
      <c r="C46" s="2" t="s">
        <v>55</v>
      </c>
      <c r="D46" s="2">
        <v>4.0</v>
      </c>
      <c r="E46" s="4" t="str">
        <f t="shared" si="2"/>
        <v>gallo</v>
      </c>
      <c r="F46" s="5" t="s">
        <v>98</v>
      </c>
      <c r="G46" s="2" t="s">
        <v>14</v>
      </c>
      <c r="H46" s="2" t="s">
        <v>93</v>
      </c>
      <c r="I46" s="5" t="s">
        <v>94</v>
      </c>
      <c r="J46" s="4">
        <f>vlookup(F46,'mussel-ID_key'!A:C,3,false)</f>
        <v>0</v>
      </c>
      <c r="K46" s="5"/>
    </row>
    <row r="47" hidden="1">
      <c r="A47" s="2">
        <v>182.0</v>
      </c>
      <c r="B47" s="6" t="s">
        <v>99</v>
      </c>
      <c r="C47" s="2" t="s">
        <v>60</v>
      </c>
      <c r="D47" s="2">
        <v>3.0</v>
      </c>
      <c r="E47" s="4" t="str">
        <f t="shared" si="2"/>
        <v>gallo</v>
      </c>
      <c r="F47" s="5" t="s">
        <v>98</v>
      </c>
      <c r="G47" s="5" t="s">
        <v>18</v>
      </c>
      <c r="H47" s="2" t="s">
        <v>93</v>
      </c>
      <c r="I47" s="5" t="s">
        <v>96</v>
      </c>
      <c r="J47" s="4">
        <f>vlookup(F47,'mussel-ID_key'!A:C,3,false)</f>
        <v>0</v>
      </c>
      <c r="K47" s="5"/>
    </row>
    <row r="48" hidden="1">
      <c r="A48" s="2">
        <v>171.0</v>
      </c>
      <c r="B48" s="6" t="s">
        <v>100</v>
      </c>
      <c r="C48" s="2" t="s">
        <v>55</v>
      </c>
      <c r="D48" s="2">
        <v>4.0</v>
      </c>
      <c r="E48" s="4" t="str">
        <f t="shared" si="2"/>
        <v>gallo</v>
      </c>
      <c r="F48" s="5" t="s">
        <v>101</v>
      </c>
      <c r="G48" s="2" t="s">
        <v>14</v>
      </c>
      <c r="H48" s="2" t="s">
        <v>93</v>
      </c>
      <c r="I48" s="5" t="s">
        <v>94</v>
      </c>
      <c r="J48" s="4">
        <f>vlookup(F48,'mussel-ID_key'!A:C,3,false)</f>
        <v>0</v>
      </c>
      <c r="K48" s="5"/>
    </row>
    <row r="49" hidden="1">
      <c r="A49" s="2">
        <v>183.0</v>
      </c>
      <c r="B49" s="6" t="s">
        <v>102</v>
      </c>
      <c r="C49" s="2" t="s">
        <v>60</v>
      </c>
      <c r="D49" s="2">
        <v>3.0</v>
      </c>
      <c r="E49" s="4" t="str">
        <f t="shared" si="2"/>
        <v>gallo</v>
      </c>
      <c r="F49" s="5" t="s">
        <v>101</v>
      </c>
      <c r="G49" s="5" t="s">
        <v>18</v>
      </c>
      <c r="H49" s="2" t="s">
        <v>93</v>
      </c>
      <c r="I49" s="5" t="s">
        <v>96</v>
      </c>
      <c r="J49" s="4">
        <f>vlookup(F49,'mussel-ID_key'!A:C,3,false)</f>
        <v>0</v>
      </c>
      <c r="K49" s="5"/>
    </row>
    <row r="50" hidden="1">
      <c r="A50" s="2">
        <v>172.0</v>
      </c>
      <c r="B50" s="6" t="s">
        <v>103</v>
      </c>
      <c r="C50" s="2" t="s">
        <v>55</v>
      </c>
      <c r="D50" s="2">
        <v>4.0</v>
      </c>
      <c r="E50" s="4" t="str">
        <f t="shared" si="2"/>
        <v>gallo</v>
      </c>
      <c r="F50" s="5" t="s">
        <v>104</v>
      </c>
      <c r="G50" s="2" t="s">
        <v>14</v>
      </c>
      <c r="H50" s="2" t="s">
        <v>93</v>
      </c>
      <c r="I50" s="5" t="s">
        <v>94</v>
      </c>
      <c r="J50" s="4">
        <f>vlookup(F50,'mussel-ID_key'!A:C,3,false)</f>
        <v>0</v>
      </c>
      <c r="K50" s="5"/>
    </row>
    <row r="51" hidden="1">
      <c r="A51" s="2">
        <v>184.0</v>
      </c>
      <c r="B51" s="6" t="s">
        <v>105</v>
      </c>
      <c r="C51" s="2" t="s">
        <v>60</v>
      </c>
      <c r="D51" s="2">
        <v>3.0</v>
      </c>
      <c r="E51" s="4" t="str">
        <f t="shared" si="2"/>
        <v>gallo</v>
      </c>
      <c r="F51" s="5" t="s">
        <v>104</v>
      </c>
      <c r="G51" s="5" t="s">
        <v>18</v>
      </c>
      <c r="H51" s="2" t="s">
        <v>93</v>
      </c>
      <c r="I51" s="5" t="s">
        <v>96</v>
      </c>
      <c r="J51" s="4">
        <f>vlookup(F51,'mussel-ID_key'!A:C,3,false)</f>
        <v>0</v>
      </c>
      <c r="K51" s="5"/>
    </row>
    <row r="52" hidden="1">
      <c r="A52" s="2">
        <v>173.0</v>
      </c>
      <c r="B52" s="6" t="s">
        <v>106</v>
      </c>
      <c r="C52" s="2" t="s">
        <v>55</v>
      </c>
      <c r="D52" s="2">
        <v>4.0</v>
      </c>
      <c r="E52" s="4" t="str">
        <f t="shared" si="2"/>
        <v>gallo</v>
      </c>
      <c r="F52" s="5" t="s">
        <v>107</v>
      </c>
      <c r="G52" s="2" t="s">
        <v>14</v>
      </c>
      <c r="H52" s="2" t="s">
        <v>93</v>
      </c>
      <c r="I52" s="5" t="s">
        <v>94</v>
      </c>
      <c r="J52" s="4">
        <f>vlookup(F52,'mussel-ID_key'!A:C,3,false)</f>
        <v>0</v>
      </c>
      <c r="K52" s="5"/>
    </row>
    <row r="53" hidden="1">
      <c r="A53" s="2">
        <v>185.0</v>
      </c>
      <c r="B53" s="6" t="s">
        <v>108</v>
      </c>
      <c r="C53" s="2" t="s">
        <v>60</v>
      </c>
      <c r="D53" s="2">
        <v>3.0</v>
      </c>
      <c r="E53" s="4" t="str">
        <f t="shared" si="2"/>
        <v>gallo</v>
      </c>
      <c r="F53" s="5" t="s">
        <v>107</v>
      </c>
      <c r="G53" s="5" t="s">
        <v>18</v>
      </c>
      <c r="H53" s="2" t="s">
        <v>93</v>
      </c>
      <c r="I53" s="5" t="s">
        <v>96</v>
      </c>
      <c r="J53" s="4">
        <f>vlookup(F53,'mussel-ID_key'!A:C,3,false)</f>
        <v>0</v>
      </c>
      <c r="K53" s="5"/>
    </row>
    <row r="54" hidden="1">
      <c r="A54" s="2">
        <v>174.0</v>
      </c>
      <c r="B54" s="6" t="s">
        <v>109</v>
      </c>
      <c r="C54" s="2" t="s">
        <v>55</v>
      </c>
      <c r="D54" s="2">
        <v>4.0</v>
      </c>
      <c r="E54" s="4" t="str">
        <f t="shared" si="2"/>
        <v>gallo</v>
      </c>
      <c r="F54" s="5" t="s">
        <v>110</v>
      </c>
      <c r="G54" s="2" t="s">
        <v>14</v>
      </c>
      <c r="H54" s="2" t="s">
        <v>93</v>
      </c>
      <c r="I54" s="5" t="s">
        <v>94</v>
      </c>
      <c r="J54" s="4">
        <f>vlookup(F54,'mussel-ID_key'!A:C,3,false)</f>
        <v>0</v>
      </c>
      <c r="K54" s="5"/>
    </row>
    <row r="55" hidden="1">
      <c r="A55" s="2">
        <v>186.0</v>
      </c>
      <c r="B55" s="6" t="s">
        <v>111</v>
      </c>
      <c r="C55" s="2" t="s">
        <v>60</v>
      </c>
      <c r="D55" s="2">
        <v>3.0</v>
      </c>
      <c r="E55" s="4" t="str">
        <f t="shared" si="2"/>
        <v>gallo</v>
      </c>
      <c r="F55" s="5" t="s">
        <v>110</v>
      </c>
      <c r="G55" s="5" t="s">
        <v>18</v>
      </c>
      <c r="H55" s="2" t="s">
        <v>93</v>
      </c>
      <c r="I55" s="5" t="s">
        <v>96</v>
      </c>
      <c r="J55" s="4">
        <f>vlookup(F55,'mussel-ID_key'!A:C,3,false)</f>
        <v>0</v>
      </c>
      <c r="K55" s="5"/>
    </row>
    <row r="56" hidden="1">
      <c r="A56" s="2">
        <v>175.0</v>
      </c>
      <c r="B56" s="6" t="s">
        <v>112</v>
      </c>
      <c r="C56" s="2" t="s">
        <v>55</v>
      </c>
      <c r="D56" s="2">
        <v>4.0</v>
      </c>
      <c r="E56" s="4" t="str">
        <f t="shared" si="2"/>
        <v>gallo</v>
      </c>
      <c r="F56" s="5" t="s">
        <v>113</v>
      </c>
      <c r="G56" s="2" t="s">
        <v>14</v>
      </c>
      <c r="H56" s="2" t="s">
        <v>93</v>
      </c>
      <c r="I56" s="5" t="s">
        <v>94</v>
      </c>
      <c r="J56" s="4">
        <f>vlookup(F56,'mussel-ID_key'!A:C,3,false)</f>
        <v>0</v>
      </c>
      <c r="K56" s="5"/>
    </row>
    <row r="57" hidden="1">
      <c r="A57" s="2">
        <v>187.0</v>
      </c>
      <c r="B57" s="6" t="s">
        <v>114</v>
      </c>
      <c r="C57" s="2" t="s">
        <v>60</v>
      </c>
      <c r="D57" s="2">
        <v>3.0</v>
      </c>
      <c r="E57" s="4" t="str">
        <f t="shared" si="2"/>
        <v>gallo</v>
      </c>
      <c r="F57" s="5" t="s">
        <v>113</v>
      </c>
      <c r="G57" s="5" t="s">
        <v>18</v>
      </c>
      <c r="H57" s="2" t="s">
        <v>93</v>
      </c>
      <c r="I57" s="5" t="s">
        <v>96</v>
      </c>
      <c r="J57" s="4">
        <f>vlookup(F57,'mussel-ID_key'!A:C,3,false)</f>
        <v>0</v>
      </c>
      <c r="K57" s="5"/>
    </row>
    <row r="58" hidden="1">
      <c r="A58" s="2">
        <v>214.0</v>
      </c>
      <c r="B58" s="6" t="s">
        <v>115</v>
      </c>
      <c r="C58" s="2" t="s">
        <v>78</v>
      </c>
      <c r="D58" s="2">
        <v>7.0</v>
      </c>
      <c r="E58" s="4" t="str">
        <f t="shared" si="2"/>
        <v>gallo</v>
      </c>
      <c r="F58" s="6" t="s">
        <v>116</v>
      </c>
      <c r="G58" s="2" t="s">
        <v>14</v>
      </c>
      <c r="H58" s="2" t="s">
        <v>80</v>
      </c>
      <c r="I58" s="5" t="s">
        <v>81</v>
      </c>
      <c r="J58" s="4">
        <f>vlookup(F58,'mussel-ID_key'!A:C,3,false)</f>
        <v>0</v>
      </c>
      <c r="K58" s="5"/>
    </row>
    <row r="59" hidden="1">
      <c r="A59" s="2">
        <v>223.0</v>
      </c>
      <c r="B59" s="6" t="s">
        <v>117</v>
      </c>
      <c r="C59" s="2" t="s">
        <v>83</v>
      </c>
      <c r="D59" s="2">
        <v>5.0</v>
      </c>
      <c r="E59" s="4" t="str">
        <f t="shared" si="2"/>
        <v>gallo</v>
      </c>
      <c r="F59" s="5" t="s">
        <v>116</v>
      </c>
      <c r="G59" s="2" t="s">
        <v>18</v>
      </c>
      <c r="H59" s="2" t="s">
        <v>80</v>
      </c>
      <c r="I59" s="5" t="s">
        <v>84</v>
      </c>
      <c r="J59" s="4">
        <f>vlookup(F59,'mussel-ID_key'!A:C,3,false)</f>
        <v>0</v>
      </c>
      <c r="K59" s="5"/>
    </row>
    <row r="60" hidden="1">
      <c r="A60" s="2">
        <v>176.0</v>
      </c>
      <c r="B60" s="6" t="s">
        <v>118</v>
      </c>
      <c r="C60" s="2" t="s">
        <v>55</v>
      </c>
      <c r="D60" s="2">
        <v>4.0</v>
      </c>
      <c r="E60" s="4" t="str">
        <f t="shared" si="2"/>
        <v>gallo</v>
      </c>
      <c r="F60" s="5" t="s">
        <v>119</v>
      </c>
      <c r="G60" s="2" t="s">
        <v>14</v>
      </c>
      <c r="H60" s="2" t="s">
        <v>93</v>
      </c>
      <c r="I60" s="5" t="s">
        <v>94</v>
      </c>
      <c r="J60" s="4">
        <f>vlookup(F60,'mussel-ID_key'!A:C,3,false)</f>
        <v>0</v>
      </c>
      <c r="K60" s="5"/>
    </row>
    <row r="61" hidden="1">
      <c r="A61" s="2">
        <v>188.0</v>
      </c>
      <c r="B61" s="6" t="s">
        <v>120</v>
      </c>
      <c r="C61" s="2" t="s">
        <v>60</v>
      </c>
      <c r="D61" s="2">
        <v>3.0</v>
      </c>
      <c r="E61" s="4" t="str">
        <f t="shared" si="2"/>
        <v>gallo</v>
      </c>
      <c r="F61" s="5" t="s">
        <v>119</v>
      </c>
      <c r="G61" s="5" t="s">
        <v>18</v>
      </c>
      <c r="H61" s="2" t="s">
        <v>93</v>
      </c>
      <c r="I61" s="5" t="s">
        <v>96</v>
      </c>
      <c r="J61" s="4">
        <f>vlookup(F61,'mussel-ID_key'!A:C,3,false)</f>
        <v>0</v>
      </c>
      <c r="K61" s="5"/>
    </row>
    <row r="62" hidden="1">
      <c r="A62" s="2">
        <v>177.0</v>
      </c>
      <c r="B62" s="6" t="s">
        <v>121</v>
      </c>
      <c r="C62" s="2" t="s">
        <v>55</v>
      </c>
      <c r="D62" s="2">
        <v>4.0</v>
      </c>
      <c r="E62" s="4" t="str">
        <f t="shared" si="2"/>
        <v>gallo</v>
      </c>
      <c r="F62" s="5" t="s">
        <v>122</v>
      </c>
      <c r="G62" s="2" t="s">
        <v>14</v>
      </c>
      <c r="H62" s="2" t="s">
        <v>93</v>
      </c>
      <c r="I62" s="5" t="s">
        <v>94</v>
      </c>
      <c r="J62" s="4">
        <f>vlookup(F62,'mussel-ID_key'!A:C,3,false)</f>
        <v>0</v>
      </c>
      <c r="K62" s="5"/>
    </row>
    <row r="63" hidden="1">
      <c r="A63" s="2">
        <v>189.0</v>
      </c>
      <c r="B63" s="6" t="s">
        <v>123</v>
      </c>
      <c r="C63" s="2" t="s">
        <v>60</v>
      </c>
      <c r="D63" s="2">
        <v>3.0</v>
      </c>
      <c r="E63" s="4" t="str">
        <f t="shared" si="2"/>
        <v>gallo</v>
      </c>
      <c r="F63" s="5" t="s">
        <v>122</v>
      </c>
      <c r="G63" s="5" t="s">
        <v>18</v>
      </c>
      <c r="H63" s="2" t="s">
        <v>93</v>
      </c>
      <c r="I63" s="5" t="s">
        <v>96</v>
      </c>
      <c r="J63" s="4">
        <f>vlookup(F63,'mussel-ID_key'!A:C,3,false)</f>
        <v>0</v>
      </c>
      <c r="K63" s="5"/>
    </row>
    <row r="64" hidden="1">
      <c r="A64" s="2">
        <v>178.0</v>
      </c>
      <c r="B64" s="6" t="s">
        <v>124</v>
      </c>
      <c r="C64" s="2" t="s">
        <v>55</v>
      </c>
      <c r="D64" s="2">
        <v>4.0</v>
      </c>
      <c r="E64" s="4" t="str">
        <f t="shared" si="2"/>
        <v>gallo</v>
      </c>
      <c r="F64" s="5" t="s">
        <v>125</v>
      </c>
      <c r="G64" s="2" t="s">
        <v>14</v>
      </c>
      <c r="H64" s="2" t="s">
        <v>93</v>
      </c>
      <c r="I64" s="5" t="s">
        <v>94</v>
      </c>
      <c r="J64" s="4">
        <f>vlookup(F64,'mussel-ID_key'!A:C,3,false)</f>
        <v>0</v>
      </c>
      <c r="K64" s="5"/>
    </row>
    <row r="65" hidden="1">
      <c r="A65" s="2">
        <v>190.0</v>
      </c>
      <c r="B65" s="6" t="s">
        <v>126</v>
      </c>
      <c r="C65" s="2" t="s">
        <v>60</v>
      </c>
      <c r="D65" s="2">
        <v>3.0</v>
      </c>
      <c r="E65" s="4" t="str">
        <f t="shared" si="2"/>
        <v>gallo</v>
      </c>
      <c r="F65" s="5" t="s">
        <v>125</v>
      </c>
      <c r="G65" s="5" t="s">
        <v>18</v>
      </c>
      <c r="H65" s="2" t="s">
        <v>93</v>
      </c>
      <c r="I65" s="5" t="s">
        <v>96</v>
      </c>
      <c r="J65" s="4">
        <f>vlookup(F65,'mussel-ID_key'!A:C,3,false)</f>
        <v>0</v>
      </c>
      <c r="K65" s="5"/>
    </row>
    <row r="66" hidden="1">
      <c r="A66" s="2">
        <v>179.0</v>
      </c>
      <c r="B66" s="6" t="s">
        <v>127</v>
      </c>
      <c r="C66" s="2" t="s">
        <v>55</v>
      </c>
      <c r="D66" s="2">
        <v>4.0</v>
      </c>
      <c r="E66" s="4" t="str">
        <f t="shared" si="2"/>
        <v>gallo</v>
      </c>
      <c r="F66" s="5" t="s">
        <v>128</v>
      </c>
      <c r="G66" s="2" t="s">
        <v>14</v>
      </c>
      <c r="H66" s="2" t="s">
        <v>93</v>
      </c>
      <c r="I66" s="5" t="s">
        <v>94</v>
      </c>
      <c r="J66" s="4">
        <f>vlookup(F66,'mussel-ID_key'!A:C,3,false)</f>
        <v>0</v>
      </c>
      <c r="K66" s="5"/>
    </row>
    <row r="67" hidden="1">
      <c r="A67" s="2">
        <v>191.0</v>
      </c>
      <c r="B67" s="6" t="s">
        <v>129</v>
      </c>
      <c r="C67" s="2" t="s">
        <v>60</v>
      </c>
      <c r="D67" s="2">
        <v>3.0</v>
      </c>
      <c r="E67" s="4" t="str">
        <f t="shared" si="2"/>
        <v>gallo</v>
      </c>
      <c r="F67" s="5" t="s">
        <v>128</v>
      </c>
      <c r="G67" s="5" t="s">
        <v>18</v>
      </c>
      <c r="H67" s="2" t="s">
        <v>93</v>
      </c>
      <c r="I67" s="5" t="s">
        <v>96</v>
      </c>
      <c r="J67" s="4">
        <f>vlookup(F67,'mussel-ID_key'!A:C,3,false)</f>
        <v>0</v>
      </c>
      <c r="K67" s="5"/>
    </row>
    <row r="68" hidden="1">
      <c r="A68" s="2">
        <v>180.0</v>
      </c>
      <c r="B68" s="6" t="s">
        <v>130</v>
      </c>
      <c r="C68" s="2" t="s">
        <v>55</v>
      </c>
      <c r="D68" s="2">
        <v>4.0</v>
      </c>
      <c r="E68" s="4" t="str">
        <f t="shared" si="2"/>
        <v>gallo</v>
      </c>
      <c r="F68" s="5" t="s">
        <v>131</v>
      </c>
      <c r="G68" s="2" t="s">
        <v>14</v>
      </c>
      <c r="H68" s="2" t="s">
        <v>93</v>
      </c>
      <c r="I68" s="5" t="s">
        <v>94</v>
      </c>
      <c r="J68" s="4">
        <f>vlookup(F68,'mussel-ID_key'!A:C,3,false)</f>
        <v>0</v>
      </c>
      <c r="K68" s="5"/>
    </row>
    <row r="69" hidden="1">
      <c r="A69" s="2">
        <v>192.0</v>
      </c>
      <c r="B69" s="6" t="s">
        <v>132</v>
      </c>
      <c r="C69" s="2" t="s">
        <v>60</v>
      </c>
      <c r="D69" s="2">
        <v>3.0</v>
      </c>
      <c r="E69" s="4" t="str">
        <f t="shared" si="2"/>
        <v>gallo</v>
      </c>
      <c r="F69" s="5" t="s">
        <v>131</v>
      </c>
      <c r="G69" s="5" t="s">
        <v>18</v>
      </c>
      <c r="H69" s="2" t="s">
        <v>93</v>
      </c>
      <c r="I69" s="5" t="s">
        <v>96</v>
      </c>
      <c r="J69" s="4">
        <f>vlookup(F69,'mussel-ID_key'!A:C,3,false)</f>
        <v>0</v>
      </c>
      <c r="K69" s="5"/>
    </row>
    <row r="70" hidden="1">
      <c r="A70" s="2">
        <v>199.0</v>
      </c>
      <c r="B70" s="6" t="s">
        <v>133</v>
      </c>
      <c r="C70" s="2" t="s">
        <v>55</v>
      </c>
      <c r="D70" s="2">
        <v>4.0</v>
      </c>
      <c r="E70" s="4" t="str">
        <f t="shared" si="2"/>
        <v>gallo</v>
      </c>
      <c r="F70" s="5" t="s">
        <v>134</v>
      </c>
      <c r="G70" s="2" t="s">
        <v>14</v>
      </c>
      <c r="H70" s="2" t="s">
        <v>57</v>
      </c>
      <c r="I70" s="5" t="s">
        <v>58</v>
      </c>
      <c r="J70" s="4">
        <f>vlookup(F70,'mussel-ID_key'!A:C,3,false)</f>
        <v>0</v>
      </c>
      <c r="K70" s="5"/>
    </row>
    <row r="71" hidden="1">
      <c r="A71" s="2">
        <v>208.0</v>
      </c>
      <c r="B71" s="6" t="s">
        <v>135</v>
      </c>
      <c r="C71" s="2" t="s">
        <v>60</v>
      </c>
      <c r="D71" s="2">
        <v>3.0</v>
      </c>
      <c r="E71" s="4" t="str">
        <f t="shared" si="2"/>
        <v>gallo</v>
      </c>
      <c r="F71" s="5" t="s">
        <v>134</v>
      </c>
      <c r="G71" s="5" t="s">
        <v>18</v>
      </c>
      <c r="H71" s="2" t="s">
        <v>57</v>
      </c>
      <c r="I71" s="5" t="s">
        <v>61</v>
      </c>
      <c r="J71" s="4">
        <f>vlookup(F71,'mussel-ID_key'!A:C,3,false)</f>
        <v>0</v>
      </c>
      <c r="K71" s="5"/>
    </row>
    <row r="72" hidden="1">
      <c r="A72" s="2">
        <v>200.0</v>
      </c>
      <c r="B72" s="6" t="s">
        <v>136</v>
      </c>
      <c r="C72" s="2" t="s">
        <v>55</v>
      </c>
      <c r="D72" s="2">
        <v>4.0</v>
      </c>
      <c r="E72" s="4" t="str">
        <f t="shared" si="2"/>
        <v>gallo</v>
      </c>
      <c r="F72" s="5" t="s">
        <v>137</v>
      </c>
      <c r="G72" s="2" t="s">
        <v>14</v>
      </c>
      <c r="H72" s="2" t="s">
        <v>57</v>
      </c>
      <c r="I72" s="5" t="s">
        <v>58</v>
      </c>
      <c r="J72" s="4">
        <f>vlookup(F72,'mussel-ID_key'!A:C,3,false)</f>
        <v>0</v>
      </c>
      <c r="K72" s="5"/>
    </row>
    <row r="73" hidden="1">
      <c r="A73" s="2">
        <v>209.0</v>
      </c>
      <c r="B73" s="6" t="s">
        <v>138</v>
      </c>
      <c r="C73" s="2" t="s">
        <v>60</v>
      </c>
      <c r="D73" s="2">
        <v>3.0</v>
      </c>
      <c r="E73" s="4" t="str">
        <f t="shared" si="2"/>
        <v>gallo</v>
      </c>
      <c r="F73" s="5" t="s">
        <v>137</v>
      </c>
      <c r="G73" s="5" t="s">
        <v>18</v>
      </c>
      <c r="H73" s="2" t="s">
        <v>57</v>
      </c>
      <c r="I73" s="5" t="s">
        <v>61</v>
      </c>
      <c r="J73" s="4">
        <f>vlookup(F73,'mussel-ID_key'!A:C,3,false)</f>
        <v>0</v>
      </c>
      <c r="K73" s="5"/>
    </row>
    <row r="74" hidden="1">
      <c r="A74" s="2">
        <v>201.0</v>
      </c>
      <c r="B74" s="6" t="s">
        <v>139</v>
      </c>
      <c r="C74" s="2" t="s">
        <v>55</v>
      </c>
      <c r="D74" s="2">
        <v>4.0</v>
      </c>
      <c r="E74" s="4" t="str">
        <f t="shared" si="2"/>
        <v>gallo</v>
      </c>
      <c r="F74" s="5" t="s">
        <v>140</v>
      </c>
      <c r="G74" s="2" t="s">
        <v>14</v>
      </c>
      <c r="H74" s="2" t="s">
        <v>57</v>
      </c>
      <c r="I74" s="5" t="s">
        <v>58</v>
      </c>
      <c r="J74" s="4">
        <f>vlookup(F74,'mussel-ID_key'!A:C,3,false)</f>
        <v>0</v>
      </c>
      <c r="K74" s="5"/>
    </row>
    <row r="75" hidden="1">
      <c r="A75" s="2">
        <v>210.0</v>
      </c>
      <c r="B75" s="6" t="s">
        <v>141</v>
      </c>
      <c r="C75" s="2" t="s">
        <v>60</v>
      </c>
      <c r="D75" s="2">
        <v>3.0</v>
      </c>
      <c r="E75" s="4" t="str">
        <f t="shared" si="2"/>
        <v>gallo</v>
      </c>
      <c r="F75" s="5" t="s">
        <v>140</v>
      </c>
      <c r="G75" s="5" t="s">
        <v>18</v>
      </c>
      <c r="H75" s="2" t="s">
        <v>57</v>
      </c>
      <c r="I75" s="5" t="s">
        <v>61</v>
      </c>
      <c r="J75" s="4">
        <f>vlookup(F75,'mussel-ID_key'!A:C,3,false)</f>
        <v>0</v>
      </c>
      <c r="K75" s="5"/>
    </row>
    <row r="76" hidden="1">
      <c r="A76" s="2">
        <v>215.0</v>
      </c>
      <c r="B76" s="6" t="s">
        <v>142</v>
      </c>
      <c r="C76" s="2" t="s">
        <v>78</v>
      </c>
      <c r="D76" s="2">
        <v>7.0</v>
      </c>
      <c r="E76" s="4" t="str">
        <f t="shared" si="2"/>
        <v>gallo</v>
      </c>
      <c r="F76" s="6" t="s">
        <v>143</v>
      </c>
      <c r="G76" s="2" t="s">
        <v>14</v>
      </c>
      <c r="H76" s="2" t="s">
        <v>80</v>
      </c>
      <c r="I76" s="5" t="s">
        <v>81</v>
      </c>
      <c r="J76" s="4">
        <f>vlookup(F76,'mussel-ID_key'!A:C,3,false)</f>
        <v>0</v>
      </c>
      <c r="K76" s="5"/>
    </row>
    <row r="77" hidden="1">
      <c r="A77" s="2">
        <v>224.0</v>
      </c>
      <c r="B77" s="6" t="s">
        <v>144</v>
      </c>
      <c r="C77" s="2" t="s">
        <v>83</v>
      </c>
      <c r="D77" s="2">
        <v>5.0</v>
      </c>
      <c r="E77" s="4" t="str">
        <f t="shared" si="2"/>
        <v>gallo</v>
      </c>
      <c r="F77" s="5" t="s">
        <v>143</v>
      </c>
      <c r="G77" s="2" t="s">
        <v>18</v>
      </c>
      <c r="H77" s="2" t="s">
        <v>80</v>
      </c>
      <c r="I77" s="5" t="s">
        <v>84</v>
      </c>
      <c r="J77" s="4">
        <f>vlookup(F77,'mussel-ID_key'!A:C,3,false)</f>
        <v>0</v>
      </c>
      <c r="K77" s="5"/>
    </row>
    <row r="78" hidden="1">
      <c r="A78" s="2">
        <v>216.0</v>
      </c>
      <c r="B78" s="6" t="s">
        <v>145</v>
      </c>
      <c r="C78" s="2" t="s">
        <v>78</v>
      </c>
      <c r="D78" s="2">
        <v>7.0</v>
      </c>
      <c r="E78" s="4" t="str">
        <f t="shared" si="2"/>
        <v>gallo</v>
      </c>
      <c r="F78" s="6" t="s">
        <v>146</v>
      </c>
      <c r="G78" s="2" t="s">
        <v>14</v>
      </c>
      <c r="H78" s="2" t="s">
        <v>80</v>
      </c>
      <c r="I78" s="5" t="s">
        <v>81</v>
      </c>
      <c r="J78" s="4">
        <f>vlookup(F78,'mussel-ID_key'!A:C,3,false)</f>
        <v>0</v>
      </c>
      <c r="K78" s="5"/>
    </row>
    <row r="79" hidden="1">
      <c r="A79" s="2">
        <v>225.0</v>
      </c>
      <c r="B79" s="6" t="s">
        <v>147</v>
      </c>
      <c r="C79" s="2" t="s">
        <v>83</v>
      </c>
      <c r="D79" s="2">
        <v>5.0</v>
      </c>
      <c r="E79" s="4" t="str">
        <f t="shared" si="2"/>
        <v>gallo</v>
      </c>
      <c r="F79" s="5" t="s">
        <v>146</v>
      </c>
      <c r="G79" s="2" t="s">
        <v>18</v>
      </c>
      <c r="H79" s="2" t="s">
        <v>80</v>
      </c>
      <c r="I79" s="5" t="s">
        <v>84</v>
      </c>
      <c r="J79" s="4">
        <f>vlookup(F79,'mussel-ID_key'!A:C,3,false)</f>
        <v>0</v>
      </c>
      <c r="K79" s="5"/>
    </row>
    <row r="80" hidden="1">
      <c r="A80" s="2">
        <v>217.0</v>
      </c>
      <c r="B80" s="6" t="s">
        <v>148</v>
      </c>
      <c r="C80" s="2" t="s">
        <v>78</v>
      </c>
      <c r="D80" s="2">
        <v>7.0</v>
      </c>
      <c r="E80" s="4" t="str">
        <f t="shared" si="2"/>
        <v>gallo</v>
      </c>
      <c r="F80" s="6" t="s">
        <v>149</v>
      </c>
      <c r="G80" s="2" t="s">
        <v>14</v>
      </c>
      <c r="H80" s="2" t="s">
        <v>80</v>
      </c>
      <c r="I80" s="5" t="s">
        <v>81</v>
      </c>
      <c r="J80" s="4">
        <f>vlookup(F80,'mussel-ID_key'!A:C,3,false)</f>
        <v>0</v>
      </c>
      <c r="K80" s="5"/>
    </row>
    <row r="81" hidden="1">
      <c r="A81" s="2">
        <v>226.0</v>
      </c>
      <c r="B81" s="6" t="s">
        <v>150</v>
      </c>
      <c r="C81" s="2" t="s">
        <v>83</v>
      </c>
      <c r="D81" s="2">
        <v>5.0</v>
      </c>
      <c r="E81" s="4" t="str">
        <f t="shared" si="2"/>
        <v>gallo</v>
      </c>
      <c r="F81" s="5" t="s">
        <v>149</v>
      </c>
      <c r="G81" s="2" t="s">
        <v>18</v>
      </c>
      <c r="H81" s="2" t="s">
        <v>80</v>
      </c>
      <c r="I81" s="5" t="s">
        <v>84</v>
      </c>
      <c r="J81" s="4">
        <f>vlookup(F81,'mussel-ID_key'!A:C,3,false)</f>
        <v>0</v>
      </c>
      <c r="K81" s="5"/>
    </row>
    <row r="82" hidden="1">
      <c r="A82" s="2">
        <v>218.0</v>
      </c>
      <c r="B82" s="6" t="s">
        <v>151</v>
      </c>
      <c r="C82" s="2" t="s">
        <v>78</v>
      </c>
      <c r="D82" s="2">
        <v>7.0</v>
      </c>
      <c r="E82" s="4" t="str">
        <f t="shared" si="2"/>
        <v>gallo</v>
      </c>
      <c r="F82" s="6" t="s">
        <v>152</v>
      </c>
      <c r="G82" s="2" t="s">
        <v>14</v>
      </c>
      <c r="H82" s="2" t="s">
        <v>80</v>
      </c>
      <c r="I82" s="5" t="s">
        <v>81</v>
      </c>
      <c r="J82" s="4">
        <f>vlookup(F82,'mussel-ID_key'!A:C,3,false)</f>
        <v>0</v>
      </c>
      <c r="K82" s="5"/>
    </row>
    <row r="83" hidden="1">
      <c r="A83" s="2">
        <v>227.0</v>
      </c>
      <c r="B83" s="6" t="s">
        <v>153</v>
      </c>
      <c r="C83" s="2" t="s">
        <v>83</v>
      </c>
      <c r="D83" s="2">
        <v>5.0</v>
      </c>
      <c r="E83" s="4" t="str">
        <f t="shared" si="2"/>
        <v>gallo</v>
      </c>
      <c r="F83" s="5" t="s">
        <v>152</v>
      </c>
      <c r="G83" s="2" t="s">
        <v>18</v>
      </c>
      <c r="H83" s="2" t="s">
        <v>80</v>
      </c>
      <c r="I83" s="5" t="s">
        <v>84</v>
      </c>
      <c r="J83" s="4">
        <f>vlookup(F83,'mussel-ID_key'!A:C,3,false)</f>
        <v>0</v>
      </c>
      <c r="K83" s="5"/>
    </row>
    <row r="84" hidden="1">
      <c r="A84" s="2">
        <v>219.0</v>
      </c>
      <c r="B84" s="6" t="s">
        <v>154</v>
      </c>
      <c r="C84" s="2" t="s">
        <v>78</v>
      </c>
      <c r="D84" s="2">
        <v>7.0</v>
      </c>
      <c r="E84" s="4" t="str">
        <f t="shared" si="2"/>
        <v>gallo</v>
      </c>
      <c r="F84" s="6" t="s">
        <v>155</v>
      </c>
      <c r="G84" s="2" t="s">
        <v>14</v>
      </c>
      <c r="H84" s="2" t="s">
        <v>80</v>
      </c>
      <c r="I84" s="5" t="s">
        <v>81</v>
      </c>
      <c r="J84" s="4">
        <f>vlookup(F84,'mussel-ID_key'!A:C,3,false)</f>
        <v>0</v>
      </c>
      <c r="K84" s="5"/>
    </row>
    <row r="85" hidden="1">
      <c r="A85" s="2">
        <v>228.0</v>
      </c>
      <c r="B85" s="6" t="s">
        <v>156</v>
      </c>
      <c r="C85" s="2" t="s">
        <v>83</v>
      </c>
      <c r="D85" s="2">
        <v>5.0</v>
      </c>
      <c r="E85" s="4" t="str">
        <f t="shared" si="2"/>
        <v>gallo</v>
      </c>
      <c r="F85" s="5" t="s">
        <v>155</v>
      </c>
      <c r="G85" s="2" t="s">
        <v>18</v>
      </c>
      <c r="H85" s="2" t="s">
        <v>80</v>
      </c>
      <c r="I85" s="5" t="s">
        <v>84</v>
      </c>
      <c r="J85" s="4">
        <f>vlookup(F85,'mussel-ID_key'!A:C,3,false)</f>
        <v>0</v>
      </c>
      <c r="K85" s="5"/>
    </row>
    <row r="86" hidden="1">
      <c r="A86" s="2">
        <v>145.0</v>
      </c>
      <c r="B86" s="6" t="s">
        <v>157</v>
      </c>
      <c r="C86" s="2" t="s">
        <v>78</v>
      </c>
      <c r="D86" s="2">
        <v>7.0</v>
      </c>
      <c r="E86" s="4" t="str">
        <f t="shared" si="2"/>
        <v>gallo</v>
      </c>
      <c r="F86" s="6" t="s">
        <v>158</v>
      </c>
      <c r="G86" s="2" t="s">
        <v>14</v>
      </c>
      <c r="H86" s="2" t="s">
        <v>159</v>
      </c>
      <c r="I86" s="5" t="s">
        <v>160</v>
      </c>
      <c r="J86" s="4">
        <f>vlookup(F86,'mussel-ID_key'!A:C,3,false)</f>
        <v>0</v>
      </c>
      <c r="K86" s="5"/>
    </row>
    <row r="87" hidden="1">
      <c r="A87" s="2">
        <v>157.0</v>
      </c>
      <c r="B87" s="6" t="s">
        <v>161</v>
      </c>
      <c r="C87" s="2" t="s">
        <v>83</v>
      </c>
      <c r="D87" s="2">
        <v>5.0</v>
      </c>
      <c r="E87" s="4" t="str">
        <f t="shared" si="2"/>
        <v>gallo</v>
      </c>
      <c r="F87" s="5" t="s">
        <v>158</v>
      </c>
      <c r="G87" s="2" t="s">
        <v>18</v>
      </c>
      <c r="H87" s="2" t="s">
        <v>159</v>
      </c>
      <c r="I87" s="5" t="s">
        <v>162</v>
      </c>
      <c r="J87" s="4">
        <f>vlookup(F87,'mussel-ID_key'!A:C,3,false)</f>
        <v>0</v>
      </c>
      <c r="K87" s="5"/>
    </row>
    <row r="88" hidden="1">
      <c r="A88" s="2">
        <v>146.0</v>
      </c>
      <c r="B88" s="6" t="s">
        <v>163</v>
      </c>
      <c r="C88" s="2" t="s">
        <v>78</v>
      </c>
      <c r="D88" s="2">
        <v>7.0</v>
      </c>
      <c r="E88" s="4" t="str">
        <f t="shared" si="2"/>
        <v>gallo</v>
      </c>
      <c r="F88" s="6" t="s">
        <v>164</v>
      </c>
      <c r="G88" s="2" t="s">
        <v>14</v>
      </c>
      <c r="H88" s="2" t="s">
        <v>159</v>
      </c>
      <c r="I88" s="5" t="s">
        <v>160</v>
      </c>
      <c r="J88" s="4">
        <f>vlookup(F88,'mussel-ID_key'!A:C,3,false)</f>
        <v>0</v>
      </c>
      <c r="K88" s="5"/>
    </row>
    <row r="89" hidden="1">
      <c r="A89" s="2">
        <v>158.0</v>
      </c>
      <c r="B89" s="6" t="s">
        <v>165</v>
      </c>
      <c r="C89" s="2" t="s">
        <v>83</v>
      </c>
      <c r="D89" s="2">
        <v>5.0</v>
      </c>
      <c r="E89" s="4" t="str">
        <f t="shared" si="2"/>
        <v>gallo</v>
      </c>
      <c r="F89" s="5" t="s">
        <v>164</v>
      </c>
      <c r="G89" s="2" t="s">
        <v>18</v>
      </c>
      <c r="H89" s="2" t="s">
        <v>159</v>
      </c>
      <c r="I89" s="5" t="s">
        <v>162</v>
      </c>
      <c r="J89" s="4">
        <f>vlookup(F89,'mussel-ID_key'!A:C,3,false)</f>
        <v>0</v>
      </c>
      <c r="K89" s="5"/>
    </row>
    <row r="90" hidden="1">
      <c r="A90" s="2">
        <v>147.0</v>
      </c>
      <c r="B90" s="6" t="s">
        <v>166</v>
      </c>
      <c r="C90" s="2" t="s">
        <v>78</v>
      </c>
      <c r="D90" s="2">
        <v>7.0</v>
      </c>
      <c r="E90" s="4" t="str">
        <f t="shared" si="2"/>
        <v>gallo</v>
      </c>
      <c r="F90" s="6" t="s">
        <v>167</v>
      </c>
      <c r="G90" s="2" t="s">
        <v>14</v>
      </c>
      <c r="H90" s="2" t="s">
        <v>159</v>
      </c>
      <c r="I90" s="5" t="s">
        <v>160</v>
      </c>
      <c r="J90" s="4">
        <f>vlookup(F90,'mussel-ID_key'!A:C,3,false)</f>
        <v>0</v>
      </c>
      <c r="K90" s="5"/>
    </row>
    <row r="91" hidden="1">
      <c r="A91" s="2">
        <v>159.0</v>
      </c>
      <c r="B91" s="6" t="s">
        <v>168</v>
      </c>
      <c r="C91" s="2" t="s">
        <v>83</v>
      </c>
      <c r="D91" s="2">
        <v>5.0</v>
      </c>
      <c r="E91" s="4" t="str">
        <f t="shared" si="2"/>
        <v>gallo</v>
      </c>
      <c r="F91" s="5" t="s">
        <v>167</v>
      </c>
      <c r="G91" s="2" t="s">
        <v>18</v>
      </c>
      <c r="H91" s="2" t="s">
        <v>159</v>
      </c>
      <c r="I91" s="5" t="s">
        <v>162</v>
      </c>
      <c r="J91" s="4">
        <f>vlookup(F91,'mussel-ID_key'!A:C,3,false)</f>
        <v>0</v>
      </c>
      <c r="K91" s="5"/>
    </row>
    <row r="92" hidden="1">
      <c r="A92" s="2">
        <v>148.0</v>
      </c>
      <c r="B92" s="6" t="s">
        <v>169</v>
      </c>
      <c r="C92" s="2" t="s">
        <v>78</v>
      </c>
      <c r="D92" s="2">
        <v>7.0</v>
      </c>
      <c r="E92" s="4" t="str">
        <f t="shared" si="2"/>
        <v>gallo</v>
      </c>
      <c r="F92" s="6" t="s">
        <v>170</v>
      </c>
      <c r="G92" s="2" t="s">
        <v>14</v>
      </c>
      <c r="H92" s="2" t="s">
        <v>159</v>
      </c>
      <c r="I92" s="5" t="s">
        <v>160</v>
      </c>
      <c r="J92" s="4">
        <f>vlookup(F92,'mussel-ID_key'!A:C,3,false)</f>
        <v>0</v>
      </c>
      <c r="K92" s="5"/>
    </row>
    <row r="93" hidden="1">
      <c r="A93" s="2">
        <v>160.0</v>
      </c>
      <c r="B93" s="6" t="s">
        <v>171</v>
      </c>
      <c r="C93" s="2" t="s">
        <v>83</v>
      </c>
      <c r="D93" s="2">
        <v>5.0</v>
      </c>
      <c r="E93" s="4" t="str">
        <f t="shared" si="2"/>
        <v>gallo</v>
      </c>
      <c r="F93" s="5" t="s">
        <v>170</v>
      </c>
      <c r="G93" s="2" t="s">
        <v>18</v>
      </c>
      <c r="H93" s="2" t="s">
        <v>159</v>
      </c>
      <c r="I93" s="5" t="s">
        <v>162</v>
      </c>
      <c r="J93" s="4">
        <f>vlookup(F93,'mussel-ID_key'!A:C,3,false)</f>
        <v>0</v>
      </c>
      <c r="K93" s="5"/>
    </row>
    <row r="94" hidden="1">
      <c r="A94" s="2">
        <v>149.0</v>
      </c>
      <c r="B94" s="6" t="s">
        <v>172</v>
      </c>
      <c r="C94" s="2" t="s">
        <v>78</v>
      </c>
      <c r="D94" s="2">
        <v>7.0</v>
      </c>
      <c r="E94" s="4" t="str">
        <f t="shared" si="2"/>
        <v>gallo</v>
      </c>
      <c r="F94" s="6" t="s">
        <v>173</v>
      </c>
      <c r="G94" s="2" t="s">
        <v>14</v>
      </c>
      <c r="H94" s="2" t="s">
        <v>159</v>
      </c>
      <c r="I94" s="5" t="s">
        <v>160</v>
      </c>
      <c r="J94" s="4">
        <f>vlookup(F94,'mussel-ID_key'!A:C,3,false)</f>
        <v>0</v>
      </c>
      <c r="K94" s="5"/>
    </row>
    <row r="95" hidden="1">
      <c r="A95" s="2">
        <v>161.0</v>
      </c>
      <c r="B95" s="6" t="s">
        <v>174</v>
      </c>
      <c r="C95" s="2" t="s">
        <v>83</v>
      </c>
      <c r="D95" s="2">
        <v>5.0</v>
      </c>
      <c r="E95" s="4" t="str">
        <f t="shared" si="2"/>
        <v>gallo</v>
      </c>
      <c r="F95" s="5" t="s">
        <v>173</v>
      </c>
      <c r="G95" s="2" t="s">
        <v>18</v>
      </c>
      <c r="H95" s="2" t="s">
        <v>159</v>
      </c>
      <c r="I95" s="5" t="s">
        <v>162</v>
      </c>
      <c r="J95" s="4">
        <f>vlookup(F95,'mussel-ID_key'!A:C,3,false)</f>
        <v>0</v>
      </c>
      <c r="K95" s="5"/>
    </row>
    <row r="96" hidden="1">
      <c r="A96" s="2">
        <v>150.0</v>
      </c>
      <c r="B96" s="6" t="s">
        <v>175</v>
      </c>
      <c r="C96" s="2" t="s">
        <v>78</v>
      </c>
      <c r="D96" s="2">
        <v>7.0</v>
      </c>
      <c r="E96" s="4" t="str">
        <f t="shared" si="2"/>
        <v>gallo</v>
      </c>
      <c r="F96" s="6" t="s">
        <v>176</v>
      </c>
      <c r="G96" s="2" t="s">
        <v>14</v>
      </c>
      <c r="H96" s="2" t="s">
        <v>159</v>
      </c>
      <c r="I96" s="5" t="s">
        <v>160</v>
      </c>
      <c r="J96" s="4">
        <f>vlookup(F96,'mussel-ID_key'!A:C,3,false)</f>
        <v>0</v>
      </c>
      <c r="K96" s="5"/>
    </row>
    <row r="97" hidden="1">
      <c r="A97" s="2">
        <v>162.0</v>
      </c>
      <c r="B97" s="6" t="s">
        <v>177</v>
      </c>
      <c r="C97" s="2" t="s">
        <v>83</v>
      </c>
      <c r="D97" s="2">
        <v>5.0</v>
      </c>
      <c r="E97" s="4" t="str">
        <f t="shared" si="2"/>
        <v>gallo</v>
      </c>
      <c r="F97" s="5" t="s">
        <v>176</v>
      </c>
      <c r="G97" s="2" t="s">
        <v>18</v>
      </c>
      <c r="H97" s="2" t="s">
        <v>159</v>
      </c>
      <c r="I97" s="5" t="s">
        <v>162</v>
      </c>
      <c r="J97" s="4">
        <f>vlookup(F97,'mussel-ID_key'!A:C,3,false)</f>
        <v>0</v>
      </c>
      <c r="K97" s="5"/>
    </row>
    <row r="98" hidden="1">
      <c r="A98" s="2">
        <v>151.0</v>
      </c>
      <c r="B98" s="6" t="s">
        <v>178</v>
      </c>
      <c r="C98" s="2" t="s">
        <v>78</v>
      </c>
      <c r="D98" s="2">
        <v>7.0</v>
      </c>
      <c r="E98" s="4" t="str">
        <f t="shared" si="2"/>
        <v>gallo</v>
      </c>
      <c r="F98" s="6" t="s">
        <v>179</v>
      </c>
      <c r="G98" s="2" t="s">
        <v>14</v>
      </c>
      <c r="H98" s="2" t="s">
        <v>159</v>
      </c>
      <c r="I98" s="5" t="s">
        <v>160</v>
      </c>
      <c r="J98" s="4">
        <f>vlookup(F98,'mussel-ID_key'!A:C,3,false)</f>
        <v>0</v>
      </c>
      <c r="K98" s="5"/>
    </row>
    <row r="99" hidden="1">
      <c r="A99" s="2">
        <v>163.0</v>
      </c>
      <c r="B99" s="6" t="s">
        <v>180</v>
      </c>
      <c r="C99" s="2" t="s">
        <v>83</v>
      </c>
      <c r="D99" s="2">
        <v>5.0</v>
      </c>
      <c r="E99" s="4" t="str">
        <f t="shared" si="2"/>
        <v>gallo</v>
      </c>
      <c r="F99" s="5" t="s">
        <v>179</v>
      </c>
      <c r="G99" s="2" t="s">
        <v>18</v>
      </c>
      <c r="H99" s="2" t="s">
        <v>159</v>
      </c>
      <c r="I99" s="5" t="s">
        <v>162</v>
      </c>
      <c r="J99" s="4">
        <f>vlookup(F99,'mussel-ID_key'!A:C,3,false)</f>
        <v>0</v>
      </c>
      <c r="K99" s="5"/>
    </row>
    <row r="100" hidden="1">
      <c r="A100" s="2">
        <v>152.0</v>
      </c>
      <c r="B100" s="6" t="s">
        <v>181</v>
      </c>
      <c r="C100" s="2" t="s">
        <v>78</v>
      </c>
      <c r="D100" s="2">
        <v>7.0</v>
      </c>
      <c r="E100" s="4" t="str">
        <f t="shared" si="2"/>
        <v>gallo</v>
      </c>
      <c r="F100" s="6" t="s">
        <v>182</v>
      </c>
      <c r="G100" s="2" t="s">
        <v>14</v>
      </c>
      <c r="H100" s="2" t="s">
        <v>159</v>
      </c>
      <c r="I100" s="5" t="s">
        <v>160</v>
      </c>
      <c r="J100" s="4">
        <f>vlookup(F100,'mussel-ID_key'!A:C,3,false)</f>
        <v>0</v>
      </c>
      <c r="K100" s="5"/>
    </row>
    <row r="101" hidden="1">
      <c r="A101" s="2">
        <v>164.0</v>
      </c>
      <c r="B101" s="6" t="s">
        <v>183</v>
      </c>
      <c r="C101" s="2" t="s">
        <v>83</v>
      </c>
      <c r="D101" s="2">
        <v>5.0</v>
      </c>
      <c r="E101" s="4" t="str">
        <f t="shared" si="2"/>
        <v>gallo</v>
      </c>
      <c r="F101" s="5" t="s">
        <v>182</v>
      </c>
      <c r="G101" s="2" t="s">
        <v>18</v>
      </c>
      <c r="H101" s="2" t="s">
        <v>159</v>
      </c>
      <c r="I101" s="5" t="s">
        <v>162</v>
      </c>
      <c r="J101" s="4">
        <f>vlookup(F101,'mussel-ID_key'!A:C,3,false)</f>
        <v>0</v>
      </c>
      <c r="K101" s="5"/>
    </row>
    <row r="102" hidden="1">
      <c r="A102" s="2">
        <v>153.0</v>
      </c>
      <c r="B102" s="6" t="s">
        <v>184</v>
      </c>
      <c r="C102" s="2" t="s">
        <v>78</v>
      </c>
      <c r="D102" s="2">
        <v>7.0</v>
      </c>
      <c r="E102" s="4" t="str">
        <f t="shared" si="2"/>
        <v>gallo</v>
      </c>
      <c r="F102" s="6" t="s">
        <v>185</v>
      </c>
      <c r="G102" s="2" t="s">
        <v>14</v>
      </c>
      <c r="H102" s="2" t="s">
        <v>159</v>
      </c>
      <c r="I102" s="5" t="s">
        <v>160</v>
      </c>
      <c r="J102" s="4">
        <f>vlookup(F102,'mussel-ID_key'!A:C,3,false)</f>
        <v>0</v>
      </c>
      <c r="K102" s="5"/>
    </row>
    <row r="103" hidden="1">
      <c r="A103" s="2">
        <v>165.0</v>
      </c>
      <c r="B103" s="6" t="s">
        <v>186</v>
      </c>
      <c r="C103" s="2" t="s">
        <v>83</v>
      </c>
      <c r="D103" s="2">
        <v>5.0</v>
      </c>
      <c r="E103" s="4" t="str">
        <f t="shared" si="2"/>
        <v>gallo</v>
      </c>
      <c r="F103" s="5" t="s">
        <v>185</v>
      </c>
      <c r="G103" s="2" t="s">
        <v>18</v>
      </c>
      <c r="H103" s="2" t="s">
        <v>159</v>
      </c>
      <c r="I103" s="5" t="s">
        <v>162</v>
      </c>
      <c r="J103" s="4">
        <f>vlookup(F103,'mussel-ID_key'!A:C,3,false)</f>
        <v>0</v>
      </c>
      <c r="K103" s="5"/>
    </row>
    <row r="104" hidden="1">
      <c r="A104" s="2">
        <v>154.0</v>
      </c>
      <c r="B104" s="6" t="s">
        <v>187</v>
      </c>
      <c r="C104" s="2" t="s">
        <v>78</v>
      </c>
      <c r="D104" s="2">
        <v>7.0</v>
      </c>
      <c r="E104" s="4" t="str">
        <f t="shared" si="2"/>
        <v>gallo</v>
      </c>
      <c r="F104" s="6" t="s">
        <v>188</v>
      </c>
      <c r="G104" s="2" t="s">
        <v>14</v>
      </c>
      <c r="H104" s="2" t="s">
        <v>159</v>
      </c>
      <c r="I104" s="5" t="s">
        <v>160</v>
      </c>
      <c r="J104" s="4">
        <f>vlookup(F104,'mussel-ID_key'!A:C,3,false)</f>
        <v>0</v>
      </c>
      <c r="K104" s="5"/>
    </row>
    <row r="105" hidden="1">
      <c r="A105" s="2">
        <v>166.0</v>
      </c>
      <c r="B105" s="6" t="s">
        <v>189</v>
      </c>
      <c r="C105" s="2" t="s">
        <v>83</v>
      </c>
      <c r="D105" s="2">
        <v>5.0</v>
      </c>
      <c r="E105" s="4" t="str">
        <f t="shared" si="2"/>
        <v>gallo</v>
      </c>
      <c r="F105" s="5" t="s">
        <v>188</v>
      </c>
      <c r="G105" s="2" t="s">
        <v>18</v>
      </c>
      <c r="H105" s="2" t="s">
        <v>159</v>
      </c>
      <c r="I105" s="5" t="s">
        <v>162</v>
      </c>
      <c r="J105" s="4">
        <f>vlookup(F105,'mussel-ID_key'!A:C,3,false)</f>
        <v>0</v>
      </c>
      <c r="K105" s="5"/>
    </row>
    <row r="106" hidden="1">
      <c r="A106" s="2">
        <v>155.0</v>
      </c>
      <c r="B106" s="6" t="s">
        <v>190</v>
      </c>
      <c r="C106" s="2" t="s">
        <v>78</v>
      </c>
      <c r="D106" s="2">
        <v>7.0</v>
      </c>
      <c r="E106" s="4" t="str">
        <f t="shared" si="2"/>
        <v>gallo</v>
      </c>
      <c r="F106" s="6" t="s">
        <v>191</v>
      </c>
      <c r="G106" s="2" t="s">
        <v>14</v>
      </c>
      <c r="H106" s="2" t="s">
        <v>159</v>
      </c>
      <c r="I106" s="5" t="s">
        <v>160</v>
      </c>
      <c r="J106" s="4">
        <f>vlookup(F106,'mussel-ID_key'!A:C,3,false)</f>
        <v>0</v>
      </c>
      <c r="K106" s="5"/>
    </row>
    <row r="107" hidden="1">
      <c r="A107" s="2">
        <v>167.0</v>
      </c>
      <c r="B107" s="6" t="s">
        <v>192</v>
      </c>
      <c r="C107" s="2" t="s">
        <v>83</v>
      </c>
      <c r="D107" s="2">
        <v>5.0</v>
      </c>
      <c r="E107" s="4" t="str">
        <f t="shared" si="2"/>
        <v>gallo</v>
      </c>
      <c r="F107" s="5" t="s">
        <v>191</v>
      </c>
      <c r="G107" s="2" t="s">
        <v>18</v>
      </c>
      <c r="H107" s="2" t="s">
        <v>159</v>
      </c>
      <c r="I107" s="5" t="s">
        <v>162</v>
      </c>
      <c r="J107" s="4">
        <f>vlookup(F107,'mussel-ID_key'!A:C,3,false)</f>
        <v>0</v>
      </c>
      <c r="K107" s="5"/>
    </row>
    <row r="108" hidden="1">
      <c r="A108" s="2">
        <v>156.0</v>
      </c>
      <c r="B108" s="6" t="s">
        <v>193</v>
      </c>
      <c r="C108" s="2" t="s">
        <v>78</v>
      </c>
      <c r="D108" s="2">
        <v>7.0</v>
      </c>
      <c r="E108" s="4" t="str">
        <f t="shared" si="2"/>
        <v>gallo</v>
      </c>
      <c r="F108" s="6" t="s">
        <v>194</v>
      </c>
      <c r="G108" s="2" t="s">
        <v>14</v>
      </c>
      <c r="H108" s="2" t="s">
        <v>159</v>
      </c>
      <c r="I108" s="5" t="s">
        <v>160</v>
      </c>
      <c r="J108" s="4">
        <f>vlookup(F108,'mussel-ID_key'!A:C,3,false)</f>
        <v>0</v>
      </c>
      <c r="K108" s="5"/>
    </row>
    <row r="109" hidden="1">
      <c r="A109" s="2">
        <v>168.0</v>
      </c>
      <c r="B109" s="6" t="s">
        <v>195</v>
      </c>
      <c r="C109" s="2" t="s">
        <v>83</v>
      </c>
      <c r="D109" s="2">
        <v>5.0</v>
      </c>
      <c r="E109" s="4" t="str">
        <f t="shared" si="2"/>
        <v>gallo</v>
      </c>
      <c r="F109" s="5" t="s">
        <v>194</v>
      </c>
      <c r="G109" s="2" t="s">
        <v>18</v>
      </c>
      <c r="H109" s="2" t="s">
        <v>159</v>
      </c>
      <c r="I109" s="5" t="s">
        <v>162</v>
      </c>
      <c r="J109" s="4">
        <f>vlookup(F109,'mussel-ID_key'!A:C,3,false)</f>
        <v>0</v>
      </c>
      <c r="K109" s="5"/>
    </row>
    <row r="110">
      <c r="A110" s="2">
        <v>1.0</v>
      </c>
      <c r="B110" s="2" t="s">
        <v>196</v>
      </c>
      <c r="C110" s="2" t="s">
        <v>12</v>
      </c>
      <c r="D110" s="2">
        <v>1.0</v>
      </c>
      <c r="E110" s="4" t="str">
        <f t="shared" si="2"/>
        <v>tross</v>
      </c>
      <c r="F110" s="4" t="s">
        <v>197</v>
      </c>
      <c r="G110" s="2" t="s">
        <v>14</v>
      </c>
      <c r="H110" s="2" t="s">
        <v>198</v>
      </c>
      <c r="I110" s="5" t="s">
        <v>199</v>
      </c>
      <c r="J110" s="4">
        <f>vlookup(F110,'mussel-ID_key'!A:C,3,false)</f>
        <v>0</v>
      </c>
      <c r="K110" s="2" t="s">
        <v>200</v>
      </c>
    </row>
    <row r="111">
      <c r="A111" s="2">
        <v>13.0</v>
      </c>
      <c r="B111" s="2" t="s">
        <v>201</v>
      </c>
      <c r="C111" s="2" t="s">
        <v>12</v>
      </c>
      <c r="D111" s="2">
        <v>1.0</v>
      </c>
      <c r="E111" s="4" t="str">
        <f t="shared" si="2"/>
        <v>tross</v>
      </c>
      <c r="F111" s="4" t="s">
        <v>197</v>
      </c>
      <c r="G111" s="2" t="s">
        <v>18</v>
      </c>
      <c r="H111" s="2" t="s">
        <v>198</v>
      </c>
      <c r="I111" s="5" t="s">
        <v>202</v>
      </c>
      <c r="J111" s="4">
        <f>vlookup(F111,'mussel-ID_key'!A:C,3,false)</f>
        <v>0</v>
      </c>
      <c r="K111" s="2" t="s">
        <v>200</v>
      </c>
    </row>
    <row r="112">
      <c r="A112" s="2">
        <v>2.0</v>
      </c>
      <c r="B112" s="2" t="s">
        <v>203</v>
      </c>
      <c r="C112" s="2" t="s">
        <v>12</v>
      </c>
      <c r="D112" s="2">
        <v>1.0</v>
      </c>
      <c r="E112" s="4" t="str">
        <f t="shared" si="2"/>
        <v>tross</v>
      </c>
      <c r="F112" s="4" t="s">
        <v>204</v>
      </c>
      <c r="G112" s="2" t="s">
        <v>14</v>
      </c>
      <c r="H112" s="2" t="s">
        <v>198</v>
      </c>
      <c r="I112" s="5" t="s">
        <v>199</v>
      </c>
      <c r="J112" s="4">
        <f>vlookup(F112,'mussel-ID_key'!A:C,3,false)</f>
        <v>0</v>
      </c>
      <c r="K112" s="2" t="s">
        <v>200</v>
      </c>
    </row>
    <row r="113">
      <c r="A113" s="2">
        <v>14.0</v>
      </c>
      <c r="B113" s="2" t="s">
        <v>205</v>
      </c>
      <c r="C113" s="2" t="s">
        <v>12</v>
      </c>
      <c r="D113" s="2">
        <v>1.0</v>
      </c>
      <c r="E113" s="4" t="str">
        <f t="shared" si="2"/>
        <v>tross</v>
      </c>
      <c r="F113" s="4" t="s">
        <v>204</v>
      </c>
      <c r="G113" s="2" t="s">
        <v>18</v>
      </c>
      <c r="H113" s="2" t="s">
        <v>198</v>
      </c>
      <c r="I113" s="5" t="s">
        <v>202</v>
      </c>
      <c r="J113" s="4">
        <f>vlookup(F113,'mussel-ID_key'!A:C,3,false)</f>
        <v>0</v>
      </c>
      <c r="K113" s="2" t="s">
        <v>200</v>
      </c>
    </row>
    <row r="114">
      <c r="A114" s="2">
        <v>3.0</v>
      </c>
      <c r="B114" s="2" t="s">
        <v>206</v>
      </c>
      <c r="C114" s="2" t="s">
        <v>12</v>
      </c>
      <c r="D114" s="2">
        <v>1.0</v>
      </c>
      <c r="E114" s="4" t="str">
        <f t="shared" si="2"/>
        <v>tross</v>
      </c>
      <c r="F114" s="4" t="s">
        <v>207</v>
      </c>
      <c r="G114" s="2" t="s">
        <v>14</v>
      </c>
      <c r="H114" s="2" t="s">
        <v>198</v>
      </c>
      <c r="I114" s="5" t="s">
        <v>199</v>
      </c>
      <c r="J114" s="4">
        <f>vlookup(F114,'mussel-ID_key'!A:C,3,false)</f>
        <v>0</v>
      </c>
      <c r="K114" s="2" t="s">
        <v>200</v>
      </c>
    </row>
    <row r="115">
      <c r="A115" s="2">
        <v>15.0</v>
      </c>
      <c r="B115" s="2" t="s">
        <v>208</v>
      </c>
      <c r="C115" s="2" t="s">
        <v>12</v>
      </c>
      <c r="D115" s="2">
        <v>1.0</v>
      </c>
      <c r="E115" s="4" t="str">
        <f t="shared" si="2"/>
        <v>tross</v>
      </c>
      <c r="F115" s="4" t="s">
        <v>207</v>
      </c>
      <c r="G115" s="2" t="s">
        <v>18</v>
      </c>
      <c r="H115" s="2" t="s">
        <v>198</v>
      </c>
      <c r="I115" s="5" t="s">
        <v>202</v>
      </c>
      <c r="J115" s="4">
        <f>vlookup(F115,'mussel-ID_key'!A:C,3,false)</f>
        <v>0</v>
      </c>
      <c r="K115" s="2" t="s">
        <v>200</v>
      </c>
    </row>
    <row r="116">
      <c r="A116" s="2">
        <v>4.0</v>
      </c>
      <c r="B116" s="2" t="s">
        <v>209</v>
      </c>
      <c r="C116" s="2" t="s">
        <v>12</v>
      </c>
      <c r="D116" s="2">
        <v>1.0</v>
      </c>
      <c r="E116" s="4" t="str">
        <f t="shared" si="2"/>
        <v>tross</v>
      </c>
      <c r="F116" s="4" t="s">
        <v>210</v>
      </c>
      <c r="G116" s="2" t="s">
        <v>14</v>
      </c>
      <c r="H116" s="2" t="s">
        <v>198</v>
      </c>
      <c r="I116" s="5" t="s">
        <v>199</v>
      </c>
      <c r="J116" s="4">
        <f>vlookup(F116,'mussel-ID_key'!A:C,3,false)</f>
        <v>0</v>
      </c>
      <c r="K116" s="2" t="s">
        <v>200</v>
      </c>
    </row>
    <row r="117">
      <c r="A117" s="2">
        <v>16.0</v>
      </c>
      <c r="B117" s="2" t="s">
        <v>211</v>
      </c>
      <c r="C117" s="2" t="s">
        <v>12</v>
      </c>
      <c r="D117" s="2">
        <v>1.0</v>
      </c>
      <c r="E117" s="4" t="str">
        <f t="shared" si="2"/>
        <v>tross</v>
      </c>
      <c r="F117" s="4" t="s">
        <v>210</v>
      </c>
      <c r="G117" s="2" t="s">
        <v>18</v>
      </c>
      <c r="H117" s="2" t="s">
        <v>198</v>
      </c>
      <c r="I117" s="5" t="s">
        <v>202</v>
      </c>
      <c r="J117" s="4">
        <f>vlookup(F117,'mussel-ID_key'!A:C,3,false)</f>
        <v>0</v>
      </c>
      <c r="K117" s="2" t="s">
        <v>200</v>
      </c>
    </row>
    <row r="118">
      <c r="A118" s="2">
        <v>5.0</v>
      </c>
      <c r="B118" s="2" t="s">
        <v>212</v>
      </c>
      <c r="C118" s="2" t="s">
        <v>12</v>
      </c>
      <c r="D118" s="2">
        <v>1.0</v>
      </c>
      <c r="E118" s="4" t="str">
        <f t="shared" si="2"/>
        <v>tross</v>
      </c>
      <c r="F118" s="4" t="s">
        <v>213</v>
      </c>
      <c r="G118" s="2" t="s">
        <v>14</v>
      </c>
      <c r="H118" s="2" t="s">
        <v>198</v>
      </c>
      <c r="I118" s="5" t="s">
        <v>199</v>
      </c>
      <c r="J118" s="4">
        <f>vlookup(F118,'mussel-ID_key'!A:C,3,false)</f>
        <v>0</v>
      </c>
      <c r="K118" s="2" t="s">
        <v>200</v>
      </c>
    </row>
    <row r="119">
      <c r="A119" s="2">
        <v>17.0</v>
      </c>
      <c r="B119" s="2" t="s">
        <v>214</v>
      </c>
      <c r="C119" s="2" t="s">
        <v>12</v>
      </c>
      <c r="D119" s="2">
        <v>1.0</v>
      </c>
      <c r="E119" s="4" t="str">
        <f t="shared" si="2"/>
        <v>tross</v>
      </c>
      <c r="F119" s="4" t="s">
        <v>213</v>
      </c>
      <c r="G119" s="2" t="s">
        <v>18</v>
      </c>
      <c r="H119" s="2" t="s">
        <v>198</v>
      </c>
      <c r="I119" s="5" t="s">
        <v>202</v>
      </c>
      <c r="J119" s="4">
        <f>vlookup(F119,'mussel-ID_key'!A:C,3,false)</f>
        <v>0</v>
      </c>
      <c r="K119" s="2" t="s">
        <v>200</v>
      </c>
    </row>
    <row r="120">
      <c r="A120" s="2">
        <v>6.0</v>
      </c>
      <c r="B120" s="2" t="s">
        <v>215</v>
      </c>
      <c r="C120" s="2" t="s">
        <v>12</v>
      </c>
      <c r="D120" s="2">
        <v>1.0</v>
      </c>
      <c r="E120" s="4" t="str">
        <f t="shared" si="2"/>
        <v>tross</v>
      </c>
      <c r="F120" s="4" t="s">
        <v>216</v>
      </c>
      <c r="G120" s="2" t="s">
        <v>14</v>
      </c>
      <c r="H120" s="2" t="s">
        <v>198</v>
      </c>
      <c r="I120" s="5" t="s">
        <v>199</v>
      </c>
      <c r="J120" s="4">
        <f>vlookup(F120,'mussel-ID_key'!A:C,3,false)</f>
        <v>0</v>
      </c>
      <c r="K120" s="2" t="s">
        <v>200</v>
      </c>
    </row>
    <row r="121">
      <c r="A121" s="2">
        <v>18.0</v>
      </c>
      <c r="B121" s="2" t="s">
        <v>217</v>
      </c>
      <c r="C121" s="2" t="s">
        <v>12</v>
      </c>
      <c r="D121" s="2">
        <v>1.0</v>
      </c>
      <c r="E121" s="4" t="str">
        <f t="shared" si="2"/>
        <v>tross</v>
      </c>
      <c r="F121" s="4" t="s">
        <v>216</v>
      </c>
      <c r="G121" s="2" t="s">
        <v>18</v>
      </c>
      <c r="H121" s="2" t="s">
        <v>198</v>
      </c>
      <c r="I121" s="5" t="s">
        <v>202</v>
      </c>
      <c r="J121" s="4">
        <f>vlookup(F121,'mussel-ID_key'!A:C,3,false)</f>
        <v>0</v>
      </c>
      <c r="K121" s="2" t="s">
        <v>200</v>
      </c>
    </row>
    <row r="122">
      <c r="A122" s="2">
        <v>7.0</v>
      </c>
      <c r="B122" s="2" t="s">
        <v>218</v>
      </c>
      <c r="C122" s="2" t="s">
        <v>12</v>
      </c>
      <c r="D122" s="2">
        <v>1.0</v>
      </c>
      <c r="E122" s="4" t="str">
        <f t="shared" si="2"/>
        <v>tross</v>
      </c>
      <c r="F122" s="4" t="s">
        <v>219</v>
      </c>
      <c r="G122" s="2" t="s">
        <v>14</v>
      </c>
      <c r="H122" s="2" t="s">
        <v>198</v>
      </c>
      <c r="I122" s="5" t="s">
        <v>199</v>
      </c>
      <c r="J122" s="4">
        <f>vlookup(F122,'mussel-ID_key'!A:C,3,false)</f>
        <v>0</v>
      </c>
      <c r="K122" s="2" t="s">
        <v>200</v>
      </c>
    </row>
    <row r="123">
      <c r="A123" s="2">
        <v>19.0</v>
      </c>
      <c r="B123" s="2" t="s">
        <v>220</v>
      </c>
      <c r="C123" s="2" t="s">
        <v>12</v>
      </c>
      <c r="D123" s="2">
        <v>1.0</v>
      </c>
      <c r="E123" s="4" t="str">
        <f t="shared" si="2"/>
        <v>tross</v>
      </c>
      <c r="F123" s="4" t="s">
        <v>219</v>
      </c>
      <c r="G123" s="2" t="s">
        <v>18</v>
      </c>
      <c r="H123" s="2" t="s">
        <v>198</v>
      </c>
      <c r="I123" s="5" t="s">
        <v>202</v>
      </c>
      <c r="J123" s="4">
        <f>vlookup(F123,'mussel-ID_key'!A:C,3,false)</f>
        <v>0</v>
      </c>
      <c r="K123" s="2" t="s">
        <v>200</v>
      </c>
    </row>
    <row r="124">
      <c r="A124" s="2">
        <v>8.0</v>
      </c>
      <c r="B124" s="2" t="s">
        <v>221</v>
      </c>
      <c r="C124" s="2" t="s">
        <v>12</v>
      </c>
      <c r="D124" s="2">
        <v>1.0</v>
      </c>
      <c r="E124" s="4" t="str">
        <f t="shared" si="2"/>
        <v>tross</v>
      </c>
      <c r="F124" s="4" t="s">
        <v>222</v>
      </c>
      <c r="G124" s="2" t="s">
        <v>14</v>
      </c>
      <c r="H124" s="2" t="s">
        <v>198</v>
      </c>
      <c r="I124" s="5" t="s">
        <v>199</v>
      </c>
      <c r="J124" s="4">
        <f>vlookup(F124,'mussel-ID_key'!A:C,3,false)</f>
        <v>0</v>
      </c>
      <c r="K124" s="2" t="s">
        <v>200</v>
      </c>
    </row>
    <row r="125">
      <c r="A125" s="2">
        <v>20.0</v>
      </c>
      <c r="B125" s="2" t="s">
        <v>223</v>
      </c>
      <c r="C125" s="2" t="s">
        <v>12</v>
      </c>
      <c r="D125" s="2">
        <v>1.0</v>
      </c>
      <c r="E125" s="4" t="str">
        <f t="shared" si="2"/>
        <v>tross</v>
      </c>
      <c r="F125" s="4" t="s">
        <v>222</v>
      </c>
      <c r="G125" s="2" t="s">
        <v>18</v>
      </c>
      <c r="H125" s="2" t="s">
        <v>198</v>
      </c>
      <c r="I125" s="5" t="s">
        <v>202</v>
      </c>
      <c r="J125" s="4">
        <f>vlookup(F125,'mussel-ID_key'!A:C,3,false)</f>
        <v>0</v>
      </c>
      <c r="K125" s="2" t="s">
        <v>200</v>
      </c>
    </row>
    <row r="126">
      <c r="A126" s="2">
        <v>9.0</v>
      </c>
      <c r="B126" s="2" t="s">
        <v>224</v>
      </c>
      <c r="C126" s="2" t="s">
        <v>12</v>
      </c>
      <c r="D126" s="2">
        <v>1.0</v>
      </c>
      <c r="E126" s="4" t="str">
        <f t="shared" si="2"/>
        <v>tross</v>
      </c>
      <c r="F126" s="4" t="s">
        <v>225</v>
      </c>
      <c r="G126" s="2" t="s">
        <v>14</v>
      </c>
      <c r="H126" s="2" t="s">
        <v>198</v>
      </c>
      <c r="I126" s="5" t="s">
        <v>199</v>
      </c>
      <c r="J126" s="4">
        <f>vlookup(F126,'mussel-ID_key'!A:C,3,false)</f>
        <v>0</v>
      </c>
      <c r="K126" s="2" t="s">
        <v>200</v>
      </c>
    </row>
    <row r="127">
      <c r="A127" s="2">
        <v>21.0</v>
      </c>
      <c r="B127" s="2" t="s">
        <v>226</v>
      </c>
      <c r="C127" s="2" t="s">
        <v>12</v>
      </c>
      <c r="D127" s="2">
        <v>1.0</v>
      </c>
      <c r="E127" s="4" t="str">
        <f t="shared" si="2"/>
        <v>tross</v>
      </c>
      <c r="F127" s="4" t="s">
        <v>225</v>
      </c>
      <c r="G127" s="2" t="s">
        <v>18</v>
      </c>
      <c r="H127" s="2" t="s">
        <v>198</v>
      </c>
      <c r="I127" s="5" t="s">
        <v>202</v>
      </c>
      <c r="J127" s="4">
        <f>vlookup(F127,'mussel-ID_key'!A:C,3,false)</f>
        <v>0</v>
      </c>
      <c r="K127" s="2" t="s">
        <v>200</v>
      </c>
    </row>
    <row r="128">
      <c r="A128" s="2">
        <v>10.0</v>
      </c>
      <c r="B128" s="2" t="s">
        <v>227</v>
      </c>
      <c r="C128" s="2" t="s">
        <v>12</v>
      </c>
      <c r="D128" s="2">
        <v>1.0</v>
      </c>
      <c r="E128" s="4" t="str">
        <f t="shared" si="2"/>
        <v>tross</v>
      </c>
      <c r="F128" s="4" t="s">
        <v>228</v>
      </c>
      <c r="G128" s="2" t="s">
        <v>14</v>
      </c>
      <c r="H128" s="2" t="s">
        <v>198</v>
      </c>
      <c r="I128" s="5" t="s">
        <v>199</v>
      </c>
      <c r="J128" s="4">
        <f>vlookup(F128,'mussel-ID_key'!A:C,3,false)</f>
        <v>0</v>
      </c>
      <c r="K128" s="2" t="s">
        <v>200</v>
      </c>
    </row>
    <row r="129">
      <c r="A129" s="2">
        <v>22.0</v>
      </c>
      <c r="B129" s="2" t="s">
        <v>229</v>
      </c>
      <c r="C129" s="2" t="s">
        <v>12</v>
      </c>
      <c r="D129" s="2">
        <v>1.0</v>
      </c>
      <c r="E129" s="4" t="str">
        <f t="shared" si="2"/>
        <v>tross</v>
      </c>
      <c r="F129" s="4" t="s">
        <v>228</v>
      </c>
      <c r="G129" s="2" t="s">
        <v>18</v>
      </c>
      <c r="H129" s="2" t="s">
        <v>198</v>
      </c>
      <c r="I129" s="5" t="s">
        <v>202</v>
      </c>
      <c r="J129" s="4">
        <f>vlookup(F129,'mussel-ID_key'!A:C,3,false)</f>
        <v>0</v>
      </c>
      <c r="K129" s="2" t="s">
        <v>200</v>
      </c>
    </row>
    <row r="130">
      <c r="A130" s="2">
        <v>11.0</v>
      </c>
      <c r="B130" s="2" t="s">
        <v>230</v>
      </c>
      <c r="C130" s="2" t="s">
        <v>12</v>
      </c>
      <c r="D130" s="2">
        <v>1.0</v>
      </c>
      <c r="E130" s="4" t="str">
        <f t="shared" si="2"/>
        <v>tross</v>
      </c>
      <c r="F130" s="4" t="s">
        <v>231</v>
      </c>
      <c r="G130" s="2" t="s">
        <v>14</v>
      </c>
      <c r="H130" s="2" t="s">
        <v>198</v>
      </c>
      <c r="I130" s="5" t="s">
        <v>199</v>
      </c>
      <c r="J130" s="4">
        <f>vlookup(F130,'mussel-ID_key'!A:C,3,false)</f>
        <v>0</v>
      </c>
      <c r="K130" s="2" t="s">
        <v>200</v>
      </c>
    </row>
    <row r="131">
      <c r="A131" s="2">
        <v>23.0</v>
      </c>
      <c r="B131" s="2" t="s">
        <v>232</v>
      </c>
      <c r="C131" s="2" t="s">
        <v>12</v>
      </c>
      <c r="D131" s="2">
        <v>1.0</v>
      </c>
      <c r="E131" s="4" t="str">
        <f t="shared" si="2"/>
        <v>tross</v>
      </c>
      <c r="F131" s="4" t="s">
        <v>231</v>
      </c>
      <c r="G131" s="2" t="s">
        <v>18</v>
      </c>
      <c r="H131" s="2" t="s">
        <v>198</v>
      </c>
      <c r="I131" s="5" t="s">
        <v>202</v>
      </c>
      <c r="J131" s="4">
        <f>vlookup(F131,'mussel-ID_key'!A:C,3,false)</f>
        <v>0</v>
      </c>
      <c r="K131" s="2" t="s">
        <v>200</v>
      </c>
    </row>
    <row r="132">
      <c r="A132" s="2">
        <v>49.0</v>
      </c>
      <c r="B132" s="6" t="s">
        <v>233</v>
      </c>
      <c r="C132" s="2" t="s">
        <v>55</v>
      </c>
      <c r="D132" s="2">
        <v>4.0</v>
      </c>
      <c r="E132" s="4" t="str">
        <f t="shared" si="2"/>
        <v>tross</v>
      </c>
      <c r="F132" s="5" t="s">
        <v>234</v>
      </c>
      <c r="G132" s="2" t="s">
        <v>14</v>
      </c>
      <c r="H132" s="2" t="s">
        <v>235</v>
      </c>
      <c r="I132" s="5" t="s">
        <v>236</v>
      </c>
      <c r="J132" s="4">
        <f>vlookup(F132,'mussel-ID_key'!A:C,3,false)</f>
        <v>0</v>
      </c>
      <c r="K132" s="2" t="s">
        <v>200</v>
      </c>
    </row>
    <row r="133">
      <c r="A133" s="2">
        <v>61.0</v>
      </c>
      <c r="B133" s="5" t="s">
        <v>237</v>
      </c>
      <c r="C133" s="5" t="s">
        <v>83</v>
      </c>
      <c r="D133" s="2">
        <v>5.0</v>
      </c>
      <c r="E133" s="4" t="s">
        <v>238</v>
      </c>
      <c r="F133" s="5" t="s">
        <v>234</v>
      </c>
      <c r="G133" s="2" t="s">
        <v>18</v>
      </c>
      <c r="H133" s="2" t="s">
        <v>235</v>
      </c>
      <c r="I133" s="5" t="s">
        <v>239</v>
      </c>
      <c r="J133" s="4">
        <f>vlookup(F133,'mussel-ID_key'!A:C,3,false)</f>
        <v>0</v>
      </c>
      <c r="K133" s="2" t="s">
        <v>200</v>
      </c>
    </row>
    <row r="134">
      <c r="A134" s="2">
        <v>50.0</v>
      </c>
      <c r="B134" s="6" t="s">
        <v>240</v>
      </c>
      <c r="C134" s="2" t="s">
        <v>55</v>
      </c>
      <c r="D134" s="2">
        <v>4.0</v>
      </c>
      <c r="E134" s="4" t="str">
        <f>if(left(F134,1)="G","gallo","tross")</f>
        <v>tross</v>
      </c>
      <c r="F134" s="5" t="s">
        <v>241</v>
      </c>
      <c r="G134" s="2" t="s">
        <v>14</v>
      </c>
      <c r="H134" s="2" t="s">
        <v>235</v>
      </c>
      <c r="I134" s="5" t="s">
        <v>236</v>
      </c>
      <c r="J134" s="4">
        <f>vlookup(F134,'mussel-ID_key'!A:C,3,false)</f>
        <v>0</v>
      </c>
      <c r="K134" s="2" t="s">
        <v>200</v>
      </c>
    </row>
    <row r="135">
      <c r="A135" s="2">
        <v>62.0</v>
      </c>
      <c r="B135" s="5" t="s">
        <v>242</v>
      </c>
      <c r="C135" s="5" t="s">
        <v>83</v>
      </c>
      <c r="D135" s="2">
        <v>5.0</v>
      </c>
      <c r="E135" s="4" t="s">
        <v>238</v>
      </c>
      <c r="F135" s="5" t="s">
        <v>241</v>
      </c>
      <c r="G135" s="2" t="s">
        <v>18</v>
      </c>
      <c r="H135" s="2" t="s">
        <v>235</v>
      </c>
      <c r="I135" s="5" t="s">
        <v>239</v>
      </c>
      <c r="J135" s="4">
        <f>vlookup(F135,'mussel-ID_key'!A:C,3,false)</f>
        <v>0</v>
      </c>
      <c r="K135" s="2" t="s">
        <v>200</v>
      </c>
    </row>
    <row r="136">
      <c r="A136" s="2">
        <v>51.0</v>
      </c>
      <c r="B136" s="6" t="s">
        <v>243</v>
      </c>
      <c r="C136" s="2" t="s">
        <v>55</v>
      </c>
      <c r="D136" s="2">
        <v>4.0</v>
      </c>
      <c r="E136" s="4" t="str">
        <f>if(left(F136,1)="G","gallo","tross")</f>
        <v>tross</v>
      </c>
      <c r="F136" s="5" t="s">
        <v>244</v>
      </c>
      <c r="G136" s="2" t="s">
        <v>14</v>
      </c>
      <c r="H136" s="2" t="s">
        <v>235</v>
      </c>
      <c r="I136" s="5" t="s">
        <v>236</v>
      </c>
      <c r="J136" s="4">
        <f>vlookup(F136,'mussel-ID_key'!A:C,3,false)</f>
        <v>0</v>
      </c>
      <c r="K136" s="2" t="s">
        <v>200</v>
      </c>
    </row>
    <row r="137">
      <c r="A137" s="2">
        <v>63.0</v>
      </c>
      <c r="B137" s="5" t="s">
        <v>245</v>
      </c>
      <c r="C137" s="5" t="s">
        <v>83</v>
      </c>
      <c r="D137" s="2">
        <v>5.0</v>
      </c>
      <c r="E137" s="4" t="s">
        <v>238</v>
      </c>
      <c r="F137" s="5" t="s">
        <v>244</v>
      </c>
      <c r="G137" s="2" t="s">
        <v>18</v>
      </c>
      <c r="H137" s="2" t="s">
        <v>235</v>
      </c>
      <c r="I137" s="5" t="s">
        <v>239</v>
      </c>
      <c r="J137" s="4">
        <f>vlookup(F137,'mussel-ID_key'!A:C,3,false)</f>
        <v>0</v>
      </c>
      <c r="K137" s="2" t="s">
        <v>200</v>
      </c>
    </row>
    <row r="138">
      <c r="A138" s="2">
        <v>73.0</v>
      </c>
      <c r="B138" s="6" t="s">
        <v>246</v>
      </c>
      <c r="C138" s="2" t="s">
        <v>55</v>
      </c>
      <c r="D138" s="2">
        <v>4.0</v>
      </c>
      <c r="E138" s="4" t="str">
        <f t="shared" ref="E138:E236" si="3">if(left(F138,1)="G","gallo","tross")</f>
        <v>tross</v>
      </c>
      <c r="F138" s="5" t="s">
        <v>247</v>
      </c>
      <c r="G138" s="2" t="s">
        <v>14</v>
      </c>
      <c r="H138" s="2" t="s">
        <v>248</v>
      </c>
      <c r="I138" s="5" t="s">
        <v>249</v>
      </c>
      <c r="J138" s="4">
        <f>vlookup(F138,'mussel-ID_key'!A:C,3,false)</f>
        <v>0</v>
      </c>
      <c r="K138" s="2" t="s">
        <v>200</v>
      </c>
    </row>
    <row r="139">
      <c r="A139" s="2">
        <v>85.0</v>
      </c>
      <c r="B139" s="2" t="s">
        <v>250</v>
      </c>
      <c r="C139" s="2" t="s">
        <v>60</v>
      </c>
      <c r="D139" s="2">
        <v>3.0</v>
      </c>
      <c r="E139" s="4" t="str">
        <f t="shared" si="3"/>
        <v>tross</v>
      </c>
      <c r="F139" s="5" t="s">
        <v>247</v>
      </c>
      <c r="G139" s="5" t="s">
        <v>18</v>
      </c>
      <c r="H139" s="2" t="s">
        <v>248</v>
      </c>
      <c r="I139" s="5" t="s">
        <v>251</v>
      </c>
      <c r="J139" s="4">
        <f>vlookup(F139,'mussel-ID_key'!A:C,3,false)</f>
        <v>0</v>
      </c>
      <c r="K139" s="2" t="s">
        <v>200</v>
      </c>
    </row>
    <row r="140">
      <c r="A140" s="2">
        <v>74.0</v>
      </c>
      <c r="B140" s="6" t="s">
        <v>252</v>
      </c>
      <c r="C140" s="2" t="s">
        <v>55</v>
      </c>
      <c r="D140" s="2">
        <v>4.0</v>
      </c>
      <c r="E140" s="4" t="str">
        <f t="shared" si="3"/>
        <v>tross</v>
      </c>
      <c r="F140" s="5" t="s">
        <v>253</v>
      </c>
      <c r="G140" s="2" t="s">
        <v>14</v>
      </c>
      <c r="H140" s="2" t="s">
        <v>248</v>
      </c>
      <c r="I140" s="5" t="s">
        <v>249</v>
      </c>
      <c r="J140" s="4">
        <f>vlookup(F140,'mussel-ID_key'!A:C,3,false)</f>
        <v>0</v>
      </c>
      <c r="K140" s="2" t="s">
        <v>200</v>
      </c>
    </row>
    <row r="141">
      <c r="A141" s="2">
        <v>86.0</v>
      </c>
      <c r="B141" s="2" t="s">
        <v>254</v>
      </c>
      <c r="C141" s="2" t="s">
        <v>60</v>
      </c>
      <c r="D141" s="2">
        <v>3.0</v>
      </c>
      <c r="E141" s="4" t="str">
        <f t="shared" si="3"/>
        <v>tross</v>
      </c>
      <c r="F141" s="5" t="s">
        <v>253</v>
      </c>
      <c r="G141" s="5" t="s">
        <v>18</v>
      </c>
      <c r="H141" s="2" t="s">
        <v>248</v>
      </c>
      <c r="I141" s="5" t="s">
        <v>251</v>
      </c>
      <c r="J141" s="4">
        <f>vlookup(F141,'mussel-ID_key'!A:C,3,false)</f>
        <v>0</v>
      </c>
      <c r="K141" s="2" t="s">
        <v>200</v>
      </c>
    </row>
    <row r="142">
      <c r="A142" s="2">
        <v>12.0</v>
      </c>
      <c r="B142" s="2" t="s">
        <v>255</v>
      </c>
      <c r="C142" s="2" t="s">
        <v>12</v>
      </c>
      <c r="D142" s="2">
        <v>1.0</v>
      </c>
      <c r="E142" s="4" t="str">
        <f t="shared" si="3"/>
        <v>tross</v>
      </c>
      <c r="F142" s="4" t="s">
        <v>256</v>
      </c>
      <c r="G142" s="2" t="s">
        <v>14</v>
      </c>
      <c r="H142" s="2" t="s">
        <v>198</v>
      </c>
      <c r="I142" s="5" t="s">
        <v>199</v>
      </c>
      <c r="J142" s="4">
        <f>vlookup(F142,'mussel-ID_key'!A:C,3,false)</f>
        <v>0</v>
      </c>
      <c r="K142" s="2" t="s">
        <v>200</v>
      </c>
    </row>
    <row r="143">
      <c r="A143" s="2">
        <v>24.0</v>
      </c>
      <c r="B143" s="2" t="s">
        <v>257</v>
      </c>
      <c r="C143" s="2" t="s">
        <v>12</v>
      </c>
      <c r="D143" s="2">
        <v>1.0</v>
      </c>
      <c r="E143" s="4" t="str">
        <f t="shared" si="3"/>
        <v>tross</v>
      </c>
      <c r="F143" s="4" t="s">
        <v>256</v>
      </c>
      <c r="G143" s="2" t="s">
        <v>18</v>
      </c>
      <c r="H143" s="2" t="s">
        <v>198</v>
      </c>
      <c r="I143" s="5" t="s">
        <v>202</v>
      </c>
      <c r="J143" s="4">
        <f>vlookup(F143,'mussel-ID_key'!A:C,3,false)</f>
        <v>0</v>
      </c>
      <c r="K143" s="2" t="s">
        <v>200</v>
      </c>
    </row>
    <row r="144">
      <c r="A144" s="2">
        <v>25.0</v>
      </c>
      <c r="B144" s="6" t="s">
        <v>258</v>
      </c>
      <c r="C144" s="2" t="s">
        <v>78</v>
      </c>
      <c r="D144" s="2">
        <v>7.0</v>
      </c>
      <c r="E144" s="4" t="str">
        <f t="shared" si="3"/>
        <v>tross</v>
      </c>
      <c r="F144" s="5" t="s">
        <v>259</v>
      </c>
      <c r="G144" s="2" t="s">
        <v>14</v>
      </c>
      <c r="H144" s="2" t="s">
        <v>260</v>
      </c>
      <c r="I144" s="5" t="s">
        <v>261</v>
      </c>
      <c r="J144" s="4">
        <f>vlookup(F144,'mussel-ID_key'!A:C,3,false)</f>
        <v>0</v>
      </c>
      <c r="K144" s="2" t="s">
        <v>200</v>
      </c>
    </row>
    <row r="145">
      <c r="A145" s="2">
        <v>37.0</v>
      </c>
      <c r="B145" s="6" t="s">
        <v>262</v>
      </c>
      <c r="C145" s="2" t="s">
        <v>83</v>
      </c>
      <c r="D145" s="2">
        <v>5.0</v>
      </c>
      <c r="E145" s="4" t="str">
        <f t="shared" si="3"/>
        <v>tross</v>
      </c>
      <c r="F145" s="5" t="s">
        <v>259</v>
      </c>
      <c r="G145" s="2" t="s">
        <v>18</v>
      </c>
      <c r="H145" s="2" t="s">
        <v>260</v>
      </c>
      <c r="I145" s="5" t="s">
        <v>263</v>
      </c>
      <c r="J145" s="4">
        <f>vlookup(F145,'mussel-ID_key'!A:C,3,false)</f>
        <v>0</v>
      </c>
      <c r="K145" s="2" t="s">
        <v>200</v>
      </c>
    </row>
    <row r="146">
      <c r="A146" s="2">
        <v>26.0</v>
      </c>
      <c r="B146" s="6" t="s">
        <v>264</v>
      </c>
      <c r="C146" s="2" t="s">
        <v>78</v>
      </c>
      <c r="D146" s="2">
        <v>7.0</v>
      </c>
      <c r="E146" s="4" t="str">
        <f t="shared" si="3"/>
        <v>tross</v>
      </c>
      <c r="F146" s="5" t="s">
        <v>265</v>
      </c>
      <c r="G146" s="2" t="s">
        <v>14</v>
      </c>
      <c r="H146" s="2" t="s">
        <v>260</v>
      </c>
      <c r="I146" s="5" t="s">
        <v>261</v>
      </c>
      <c r="J146" s="4">
        <f>vlookup(F146,'mussel-ID_key'!A:C,3,false)</f>
        <v>0</v>
      </c>
      <c r="K146" s="2" t="s">
        <v>200</v>
      </c>
    </row>
    <row r="147">
      <c r="A147" s="2">
        <v>38.0</v>
      </c>
      <c r="B147" s="6" t="s">
        <v>266</v>
      </c>
      <c r="C147" s="2" t="s">
        <v>83</v>
      </c>
      <c r="D147" s="2">
        <v>5.0</v>
      </c>
      <c r="E147" s="4" t="str">
        <f t="shared" si="3"/>
        <v>tross</v>
      </c>
      <c r="F147" s="5" t="s">
        <v>265</v>
      </c>
      <c r="G147" s="2" t="s">
        <v>18</v>
      </c>
      <c r="H147" s="2" t="s">
        <v>260</v>
      </c>
      <c r="I147" s="5" t="s">
        <v>263</v>
      </c>
      <c r="J147" s="4">
        <f>vlookup(F147,'mussel-ID_key'!A:C,3,false)</f>
        <v>0</v>
      </c>
      <c r="K147" s="2" t="s">
        <v>200</v>
      </c>
    </row>
    <row r="148">
      <c r="A148" s="2">
        <v>27.0</v>
      </c>
      <c r="B148" s="6" t="s">
        <v>267</v>
      </c>
      <c r="C148" s="2" t="s">
        <v>78</v>
      </c>
      <c r="D148" s="2">
        <v>7.0</v>
      </c>
      <c r="E148" s="4" t="str">
        <f t="shared" si="3"/>
        <v>tross</v>
      </c>
      <c r="F148" s="5" t="s">
        <v>268</v>
      </c>
      <c r="G148" s="2" t="s">
        <v>14</v>
      </c>
      <c r="H148" s="2" t="s">
        <v>260</v>
      </c>
      <c r="I148" s="5" t="s">
        <v>261</v>
      </c>
      <c r="J148" s="4">
        <f>vlookup(F148,'mussel-ID_key'!A:C,3,false)</f>
        <v>0</v>
      </c>
      <c r="K148" s="2" t="s">
        <v>200</v>
      </c>
    </row>
    <row r="149">
      <c r="A149" s="2">
        <v>39.0</v>
      </c>
      <c r="B149" s="6" t="s">
        <v>269</v>
      </c>
      <c r="C149" s="2" t="s">
        <v>83</v>
      </c>
      <c r="D149" s="2">
        <v>5.0</v>
      </c>
      <c r="E149" s="4" t="str">
        <f t="shared" si="3"/>
        <v>tross</v>
      </c>
      <c r="F149" s="5" t="s">
        <v>268</v>
      </c>
      <c r="G149" s="2" t="s">
        <v>18</v>
      </c>
      <c r="H149" s="2" t="s">
        <v>260</v>
      </c>
      <c r="I149" s="5" t="s">
        <v>263</v>
      </c>
      <c r="J149" s="4">
        <f>vlookup(F149,'mussel-ID_key'!A:C,3,false)</f>
        <v>0</v>
      </c>
      <c r="K149" s="2" t="s">
        <v>200</v>
      </c>
    </row>
    <row r="150">
      <c r="A150" s="2">
        <v>28.0</v>
      </c>
      <c r="B150" s="6" t="s">
        <v>270</v>
      </c>
      <c r="C150" s="2" t="s">
        <v>78</v>
      </c>
      <c r="D150" s="2">
        <v>7.0</v>
      </c>
      <c r="E150" s="4" t="str">
        <f t="shared" si="3"/>
        <v>tross</v>
      </c>
      <c r="F150" s="5" t="s">
        <v>271</v>
      </c>
      <c r="G150" s="2" t="s">
        <v>14</v>
      </c>
      <c r="H150" s="2" t="s">
        <v>260</v>
      </c>
      <c r="I150" s="5" t="s">
        <v>261</v>
      </c>
      <c r="J150" s="4">
        <f>vlookup(F150,'mussel-ID_key'!A:C,3,false)</f>
        <v>0</v>
      </c>
      <c r="K150" s="2" t="s">
        <v>200</v>
      </c>
    </row>
    <row r="151">
      <c r="A151" s="2">
        <v>40.0</v>
      </c>
      <c r="B151" s="6" t="s">
        <v>272</v>
      </c>
      <c r="C151" s="2" t="s">
        <v>83</v>
      </c>
      <c r="D151" s="2">
        <v>5.0</v>
      </c>
      <c r="E151" s="4" t="str">
        <f t="shared" si="3"/>
        <v>tross</v>
      </c>
      <c r="F151" s="5" t="s">
        <v>271</v>
      </c>
      <c r="G151" s="2" t="s">
        <v>18</v>
      </c>
      <c r="H151" s="2" t="s">
        <v>260</v>
      </c>
      <c r="I151" s="5" t="s">
        <v>263</v>
      </c>
      <c r="J151" s="4">
        <f>vlookup(F151,'mussel-ID_key'!A:C,3,false)</f>
        <v>0</v>
      </c>
      <c r="K151" s="2" t="s">
        <v>200</v>
      </c>
    </row>
    <row r="152">
      <c r="A152" s="2">
        <v>29.0</v>
      </c>
      <c r="B152" s="6" t="s">
        <v>273</v>
      </c>
      <c r="C152" s="2" t="s">
        <v>78</v>
      </c>
      <c r="D152" s="2">
        <v>7.0</v>
      </c>
      <c r="E152" s="4" t="str">
        <f t="shared" si="3"/>
        <v>tross</v>
      </c>
      <c r="F152" s="5" t="s">
        <v>274</v>
      </c>
      <c r="G152" s="2" t="s">
        <v>14</v>
      </c>
      <c r="H152" s="2" t="s">
        <v>260</v>
      </c>
      <c r="I152" s="5" t="s">
        <v>261</v>
      </c>
      <c r="J152" s="4">
        <f>vlookup(F152,'mussel-ID_key'!A:C,3,false)</f>
        <v>0</v>
      </c>
      <c r="K152" s="2" t="s">
        <v>200</v>
      </c>
    </row>
    <row r="153">
      <c r="A153" s="2">
        <v>41.0</v>
      </c>
      <c r="B153" s="6" t="s">
        <v>275</v>
      </c>
      <c r="C153" s="2" t="s">
        <v>83</v>
      </c>
      <c r="D153" s="2">
        <v>5.0</v>
      </c>
      <c r="E153" s="4" t="str">
        <f t="shared" si="3"/>
        <v>tross</v>
      </c>
      <c r="F153" s="5" t="s">
        <v>274</v>
      </c>
      <c r="G153" s="2" t="s">
        <v>18</v>
      </c>
      <c r="H153" s="2" t="s">
        <v>260</v>
      </c>
      <c r="I153" s="5" t="s">
        <v>263</v>
      </c>
      <c r="J153" s="4">
        <f>vlookup(F153,'mussel-ID_key'!A:C,3,false)</f>
        <v>0</v>
      </c>
      <c r="K153" s="2" t="s">
        <v>200</v>
      </c>
    </row>
    <row r="154">
      <c r="A154" s="2">
        <v>30.0</v>
      </c>
      <c r="B154" s="6" t="s">
        <v>276</v>
      </c>
      <c r="C154" s="2" t="s">
        <v>78</v>
      </c>
      <c r="D154" s="2">
        <v>7.0</v>
      </c>
      <c r="E154" s="4" t="str">
        <f t="shared" si="3"/>
        <v>tross</v>
      </c>
      <c r="F154" s="5" t="s">
        <v>277</v>
      </c>
      <c r="G154" s="2" t="s">
        <v>14</v>
      </c>
      <c r="H154" s="2" t="s">
        <v>260</v>
      </c>
      <c r="I154" s="5" t="s">
        <v>261</v>
      </c>
      <c r="J154" s="4">
        <f>vlookup(F154,'mussel-ID_key'!A:C,3,false)</f>
        <v>0</v>
      </c>
      <c r="K154" s="2" t="s">
        <v>200</v>
      </c>
    </row>
    <row r="155">
      <c r="A155" s="2">
        <v>42.0</v>
      </c>
      <c r="B155" s="6" t="s">
        <v>278</v>
      </c>
      <c r="C155" s="2" t="s">
        <v>83</v>
      </c>
      <c r="D155" s="2">
        <v>5.0</v>
      </c>
      <c r="E155" s="4" t="str">
        <f t="shared" si="3"/>
        <v>tross</v>
      </c>
      <c r="F155" s="5" t="s">
        <v>277</v>
      </c>
      <c r="G155" s="2" t="s">
        <v>18</v>
      </c>
      <c r="H155" s="2" t="s">
        <v>260</v>
      </c>
      <c r="I155" s="5" t="s">
        <v>263</v>
      </c>
      <c r="J155" s="4">
        <f>vlookup(F155,'mussel-ID_key'!A:C,3,false)</f>
        <v>0</v>
      </c>
      <c r="K155" s="2" t="s">
        <v>200</v>
      </c>
    </row>
    <row r="156">
      <c r="A156" s="2">
        <v>31.0</v>
      </c>
      <c r="B156" s="6" t="s">
        <v>279</v>
      </c>
      <c r="C156" s="2" t="s">
        <v>78</v>
      </c>
      <c r="D156" s="2">
        <v>7.0</v>
      </c>
      <c r="E156" s="4" t="str">
        <f t="shared" si="3"/>
        <v>tross</v>
      </c>
      <c r="F156" s="5" t="s">
        <v>280</v>
      </c>
      <c r="G156" s="2" t="s">
        <v>14</v>
      </c>
      <c r="H156" s="2" t="s">
        <v>260</v>
      </c>
      <c r="I156" s="5" t="s">
        <v>261</v>
      </c>
      <c r="J156" s="4">
        <f>vlookup(F156,'mussel-ID_key'!A:C,3,false)</f>
        <v>0</v>
      </c>
      <c r="K156" s="2" t="s">
        <v>200</v>
      </c>
    </row>
    <row r="157">
      <c r="A157" s="2">
        <v>43.0</v>
      </c>
      <c r="B157" s="6" t="s">
        <v>281</v>
      </c>
      <c r="C157" s="2" t="s">
        <v>83</v>
      </c>
      <c r="D157" s="2">
        <v>5.0</v>
      </c>
      <c r="E157" s="4" t="str">
        <f t="shared" si="3"/>
        <v>tross</v>
      </c>
      <c r="F157" s="5" t="s">
        <v>280</v>
      </c>
      <c r="G157" s="2" t="s">
        <v>18</v>
      </c>
      <c r="H157" s="2" t="s">
        <v>260</v>
      </c>
      <c r="I157" s="5" t="s">
        <v>263</v>
      </c>
      <c r="J157" s="4">
        <f>vlookup(F157,'mussel-ID_key'!A:C,3,false)</f>
        <v>0</v>
      </c>
      <c r="K157" s="2" t="s">
        <v>200</v>
      </c>
    </row>
    <row r="158">
      <c r="A158" s="2">
        <v>32.0</v>
      </c>
      <c r="B158" s="6" t="s">
        <v>282</v>
      </c>
      <c r="C158" s="2" t="s">
        <v>78</v>
      </c>
      <c r="D158" s="2">
        <v>7.0</v>
      </c>
      <c r="E158" s="4" t="str">
        <f t="shared" si="3"/>
        <v>tross</v>
      </c>
      <c r="F158" s="5" t="s">
        <v>283</v>
      </c>
      <c r="G158" s="2" t="s">
        <v>14</v>
      </c>
      <c r="H158" s="2" t="s">
        <v>260</v>
      </c>
      <c r="I158" s="5" t="s">
        <v>261</v>
      </c>
      <c r="J158" s="4">
        <f>vlookup(F158,'mussel-ID_key'!A:C,3,false)</f>
        <v>0</v>
      </c>
      <c r="K158" s="2" t="s">
        <v>200</v>
      </c>
    </row>
    <row r="159">
      <c r="A159" s="2">
        <v>44.0</v>
      </c>
      <c r="B159" s="6" t="s">
        <v>284</v>
      </c>
      <c r="C159" s="2" t="s">
        <v>83</v>
      </c>
      <c r="D159" s="2">
        <v>5.0</v>
      </c>
      <c r="E159" s="4" t="str">
        <f t="shared" si="3"/>
        <v>tross</v>
      </c>
      <c r="F159" s="5" t="s">
        <v>283</v>
      </c>
      <c r="G159" s="2" t="s">
        <v>18</v>
      </c>
      <c r="H159" s="2" t="s">
        <v>260</v>
      </c>
      <c r="I159" s="5" t="s">
        <v>263</v>
      </c>
      <c r="J159" s="4">
        <f>vlookup(F159,'mussel-ID_key'!A:C,3,false)</f>
        <v>0</v>
      </c>
      <c r="K159" s="2" t="s">
        <v>200</v>
      </c>
    </row>
    <row r="160">
      <c r="A160" s="2">
        <v>33.0</v>
      </c>
      <c r="B160" s="6" t="s">
        <v>285</v>
      </c>
      <c r="C160" s="2" t="s">
        <v>78</v>
      </c>
      <c r="D160" s="2">
        <v>7.0</v>
      </c>
      <c r="E160" s="4" t="str">
        <f t="shared" si="3"/>
        <v>tross</v>
      </c>
      <c r="F160" s="5" t="s">
        <v>286</v>
      </c>
      <c r="G160" s="2" t="s">
        <v>14</v>
      </c>
      <c r="H160" s="2" t="s">
        <v>260</v>
      </c>
      <c r="I160" s="5" t="s">
        <v>261</v>
      </c>
      <c r="J160" s="4">
        <f>vlookup(F160,'mussel-ID_key'!A:C,3,false)</f>
        <v>0</v>
      </c>
      <c r="K160" s="2" t="s">
        <v>200</v>
      </c>
    </row>
    <row r="161">
      <c r="A161" s="2">
        <v>45.0</v>
      </c>
      <c r="B161" s="6" t="s">
        <v>287</v>
      </c>
      <c r="C161" s="2" t="s">
        <v>83</v>
      </c>
      <c r="D161" s="2">
        <v>5.0</v>
      </c>
      <c r="E161" s="4" t="str">
        <f t="shared" si="3"/>
        <v>tross</v>
      </c>
      <c r="F161" s="5" t="s">
        <v>286</v>
      </c>
      <c r="G161" s="2" t="s">
        <v>18</v>
      </c>
      <c r="H161" s="2" t="s">
        <v>260</v>
      </c>
      <c r="I161" s="5" t="s">
        <v>263</v>
      </c>
      <c r="J161" s="4">
        <f>vlookup(F161,'mussel-ID_key'!A:C,3,false)</f>
        <v>0</v>
      </c>
      <c r="K161" s="2" t="s">
        <v>200</v>
      </c>
    </row>
    <row r="162">
      <c r="A162" s="2">
        <v>34.0</v>
      </c>
      <c r="B162" s="6" t="s">
        <v>288</v>
      </c>
      <c r="C162" s="2" t="s">
        <v>78</v>
      </c>
      <c r="D162" s="2">
        <v>7.0</v>
      </c>
      <c r="E162" s="4" t="str">
        <f t="shared" si="3"/>
        <v>tross</v>
      </c>
      <c r="F162" s="5" t="s">
        <v>289</v>
      </c>
      <c r="G162" s="2" t="s">
        <v>14</v>
      </c>
      <c r="H162" s="2" t="s">
        <v>260</v>
      </c>
      <c r="I162" s="5" t="s">
        <v>261</v>
      </c>
      <c r="J162" s="4">
        <f>vlookup(F162,'mussel-ID_key'!A:C,3,false)</f>
        <v>0</v>
      </c>
      <c r="K162" s="2" t="s">
        <v>200</v>
      </c>
    </row>
    <row r="163">
      <c r="A163" s="2">
        <v>46.0</v>
      </c>
      <c r="B163" s="6" t="s">
        <v>290</v>
      </c>
      <c r="C163" s="2" t="s">
        <v>83</v>
      </c>
      <c r="D163" s="2">
        <v>5.0</v>
      </c>
      <c r="E163" s="4" t="str">
        <f t="shared" si="3"/>
        <v>tross</v>
      </c>
      <c r="F163" s="5" t="s">
        <v>289</v>
      </c>
      <c r="G163" s="2" t="s">
        <v>18</v>
      </c>
      <c r="H163" s="2" t="s">
        <v>260</v>
      </c>
      <c r="I163" s="5" t="s">
        <v>263</v>
      </c>
      <c r="J163" s="4">
        <f>vlookup(F163,'mussel-ID_key'!A:C,3,false)</f>
        <v>0</v>
      </c>
      <c r="K163" s="2" t="s">
        <v>200</v>
      </c>
    </row>
    <row r="164">
      <c r="A164" s="2">
        <v>35.0</v>
      </c>
      <c r="B164" s="6" t="s">
        <v>291</v>
      </c>
      <c r="C164" s="2" t="s">
        <v>78</v>
      </c>
      <c r="D164" s="2">
        <v>7.0</v>
      </c>
      <c r="E164" s="4" t="str">
        <f t="shared" si="3"/>
        <v>tross</v>
      </c>
      <c r="F164" s="5" t="s">
        <v>292</v>
      </c>
      <c r="G164" s="2" t="s">
        <v>14</v>
      </c>
      <c r="H164" s="2" t="s">
        <v>260</v>
      </c>
      <c r="I164" s="5" t="s">
        <v>261</v>
      </c>
      <c r="J164" s="4">
        <f>vlookup(F164,'mussel-ID_key'!A:C,3,false)</f>
        <v>0</v>
      </c>
      <c r="K164" s="2" t="s">
        <v>200</v>
      </c>
    </row>
    <row r="165">
      <c r="A165" s="2">
        <v>47.0</v>
      </c>
      <c r="B165" s="6" t="s">
        <v>293</v>
      </c>
      <c r="C165" s="2" t="s">
        <v>83</v>
      </c>
      <c r="D165" s="2">
        <v>5.0</v>
      </c>
      <c r="E165" s="4" t="str">
        <f t="shared" si="3"/>
        <v>tross</v>
      </c>
      <c r="F165" s="5" t="s">
        <v>292</v>
      </c>
      <c r="G165" s="2" t="s">
        <v>18</v>
      </c>
      <c r="H165" s="2" t="s">
        <v>260</v>
      </c>
      <c r="I165" s="5" t="s">
        <v>263</v>
      </c>
      <c r="J165" s="4">
        <f>vlookup(F165,'mussel-ID_key'!A:C,3,false)</f>
        <v>0</v>
      </c>
      <c r="K165" s="2" t="s">
        <v>200</v>
      </c>
    </row>
    <row r="166">
      <c r="A166" s="2">
        <v>36.0</v>
      </c>
      <c r="B166" s="6" t="s">
        <v>294</v>
      </c>
      <c r="C166" s="2" t="s">
        <v>78</v>
      </c>
      <c r="D166" s="2">
        <v>7.0</v>
      </c>
      <c r="E166" s="4" t="str">
        <f t="shared" si="3"/>
        <v>tross</v>
      </c>
      <c r="F166" s="5" t="s">
        <v>295</v>
      </c>
      <c r="G166" s="2" t="s">
        <v>14</v>
      </c>
      <c r="H166" s="2" t="s">
        <v>260</v>
      </c>
      <c r="I166" s="5" t="s">
        <v>261</v>
      </c>
      <c r="J166" s="4">
        <f>vlookup(F166,'mussel-ID_key'!A:C,3,false)</f>
        <v>0</v>
      </c>
      <c r="K166" s="2" t="s">
        <v>200</v>
      </c>
    </row>
    <row r="167">
      <c r="A167" s="2">
        <v>48.0</v>
      </c>
      <c r="B167" s="6" t="s">
        <v>296</v>
      </c>
      <c r="C167" s="2" t="s">
        <v>83</v>
      </c>
      <c r="D167" s="2">
        <v>5.0</v>
      </c>
      <c r="E167" s="4" t="str">
        <f t="shared" si="3"/>
        <v>tross</v>
      </c>
      <c r="F167" s="5" t="s">
        <v>295</v>
      </c>
      <c r="G167" s="2" t="s">
        <v>18</v>
      </c>
      <c r="H167" s="2" t="s">
        <v>260</v>
      </c>
      <c r="I167" s="5" t="s">
        <v>263</v>
      </c>
      <c r="J167" s="4">
        <f>vlookup(F167,'mussel-ID_key'!A:C,3,false)</f>
        <v>0</v>
      </c>
      <c r="K167" s="2" t="s">
        <v>200</v>
      </c>
    </row>
    <row r="168" hidden="1">
      <c r="A168" s="2">
        <v>229.0</v>
      </c>
      <c r="B168" s="6" t="s">
        <v>297</v>
      </c>
      <c r="C168" s="2" t="s">
        <v>298</v>
      </c>
      <c r="D168" s="2">
        <v>8.0</v>
      </c>
      <c r="E168" s="4" t="str">
        <f t="shared" si="3"/>
        <v>tross</v>
      </c>
      <c r="F168" s="6" t="s">
        <v>299</v>
      </c>
      <c r="G168" s="2" t="s">
        <v>14</v>
      </c>
      <c r="H168" s="2" t="s">
        <v>300</v>
      </c>
      <c r="I168" s="5" t="s">
        <v>301</v>
      </c>
      <c r="J168" s="4">
        <f>vlookup(F168,'mussel-ID_key'!A:C,3,false)</f>
        <v>0</v>
      </c>
      <c r="K168" s="5"/>
    </row>
    <row r="169" hidden="1">
      <c r="A169" s="2">
        <v>241.0</v>
      </c>
      <c r="B169" s="6" t="s">
        <v>302</v>
      </c>
      <c r="C169" s="2" t="s">
        <v>298</v>
      </c>
      <c r="D169" s="2">
        <v>8.0</v>
      </c>
      <c r="E169" s="4" t="str">
        <f t="shared" si="3"/>
        <v>tross</v>
      </c>
      <c r="F169" s="6" t="s">
        <v>299</v>
      </c>
      <c r="G169" s="2" t="s">
        <v>18</v>
      </c>
      <c r="H169" s="2" t="s">
        <v>300</v>
      </c>
      <c r="I169" s="5" t="s">
        <v>303</v>
      </c>
      <c r="J169" s="4">
        <f>vlookup(F169,'mussel-ID_key'!A:C,3,false)</f>
        <v>0</v>
      </c>
      <c r="K169" s="5"/>
    </row>
    <row r="170" hidden="1">
      <c r="A170" s="2">
        <v>230.0</v>
      </c>
      <c r="B170" s="6" t="s">
        <v>304</v>
      </c>
      <c r="C170" s="2" t="s">
        <v>298</v>
      </c>
      <c r="D170" s="2">
        <v>8.0</v>
      </c>
      <c r="E170" s="4" t="str">
        <f t="shared" si="3"/>
        <v>tross</v>
      </c>
      <c r="F170" s="6" t="s">
        <v>305</v>
      </c>
      <c r="G170" s="2" t="s">
        <v>14</v>
      </c>
      <c r="H170" s="2" t="s">
        <v>300</v>
      </c>
      <c r="I170" s="5" t="s">
        <v>301</v>
      </c>
      <c r="J170" s="4">
        <f>vlookup(F170,'mussel-ID_key'!A:C,3,false)</f>
        <v>0</v>
      </c>
      <c r="K170" s="5"/>
    </row>
    <row r="171" hidden="1">
      <c r="A171" s="2">
        <v>242.0</v>
      </c>
      <c r="B171" s="6" t="s">
        <v>306</v>
      </c>
      <c r="C171" s="2" t="s">
        <v>298</v>
      </c>
      <c r="D171" s="2">
        <v>8.0</v>
      </c>
      <c r="E171" s="4" t="str">
        <f t="shared" si="3"/>
        <v>tross</v>
      </c>
      <c r="F171" s="6" t="s">
        <v>305</v>
      </c>
      <c r="G171" s="2" t="s">
        <v>18</v>
      </c>
      <c r="H171" s="2" t="s">
        <v>300</v>
      </c>
      <c r="I171" s="5" t="s">
        <v>303</v>
      </c>
      <c r="J171" s="4">
        <f>vlookup(F171,'mussel-ID_key'!A:C,3,false)</f>
        <v>0</v>
      </c>
      <c r="K171" s="5"/>
    </row>
    <row r="172">
      <c r="A172" s="2">
        <v>75.0</v>
      </c>
      <c r="B172" s="6" t="s">
        <v>307</v>
      </c>
      <c r="C172" s="2" t="s">
        <v>55</v>
      </c>
      <c r="D172" s="2">
        <v>4.0</v>
      </c>
      <c r="E172" s="4" t="str">
        <f t="shared" si="3"/>
        <v>tross</v>
      </c>
      <c r="F172" s="5" t="s">
        <v>308</v>
      </c>
      <c r="G172" s="2" t="s">
        <v>14</v>
      </c>
      <c r="H172" s="2" t="s">
        <v>248</v>
      </c>
      <c r="I172" s="5" t="s">
        <v>249</v>
      </c>
      <c r="J172" s="4">
        <f>vlookup(F172,'mussel-ID_key'!A:C,3,false)</f>
        <v>1</v>
      </c>
      <c r="K172" s="2" t="s">
        <v>200</v>
      </c>
    </row>
    <row r="173">
      <c r="A173" s="2">
        <v>87.0</v>
      </c>
      <c r="B173" s="6" t="s">
        <v>309</v>
      </c>
      <c r="C173" s="2" t="s">
        <v>60</v>
      </c>
      <c r="D173" s="2">
        <v>3.0</v>
      </c>
      <c r="E173" s="4" t="str">
        <f t="shared" si="3"/>
        <v>tross</v>
      </c>
      <c r="F173" s="5" t="s">
        <v>308</v>
      </c>
      <c r="G173" s="5" t="s">
        <v>18</v>
      </c>
      <c r="H173" s="2" t="s">
        <v>248</v>
      </c>
      <c r="I173" s="5" t="s">
        <v>251</v>
      </c>
      <c r="J173" s="4">
        <f>vlookup(F173,'mussel-ID_key'!A:C,3,false)</f>
        <v>1</v>
      </c>
      <c r="K173" s="2" t="s">
        <v>200</v>
      </c>
    </row>
    <row r="174" hidden="1">
      <c r="A174" s="2">
        <v>231.0</v>
      </c>
      <c r="B174" s="6" t="s">
        <v>310</v>
      </c>
      <c r="C174" s="2" t="s">
        <v>298</v>
      </c>
      <c r="D174" s="2">
        <v>8.0</v>
      </c>
      <c r="E174" s="4" t="str">
        <f t="shared" si="3"/>
        <v>tross</v>
      </c>
      <c r="F174" s="6" t="s">
        <v>311</v>
      </c>
      <c r="G174" s="2" t="s">
        <v>14</v>
      </c>
      <c r="H174" s="2" t="s">
        <v>300</v>
      </c>
      <c r="I174" s="5" t="s">
        <v>301</v>
      </c>
      <c r="J174" s="4">
        <f>vlookup(F174,'mussel-ID_key'!A:C,3,false)</f>
        <v>0</v>
      </c>
      <c r="K174" s="5"/>
    </row>
    <row r="175" hidden="1">
      <c r="A175" s="2">
        <v>243.0</v>
      </c>
      <c r="B175" s="6" t="s">
        <v>312</v>
      </c>
      <c r="C175" s="2" t="s">
        <v>298</v>
      </c>
      <c r="D175" s="2">
        <v>8.0</v>
      </c>
      <c r="E175" s="4" t="str">
        <f t="shared" si="3"/>
        <v>tross</v>
      </c>
      <c r="F175" s="6" t="s">
        <v>311</v>
      </c>
      <c r="G175" s="2" t="s">
        <v>18</v>
      </c>
      <c r="H175" s="2" t="s">
        <v>300</v>
      </c>
      <c r="I175" s="5" t="s">
        <v>303</v>
      </c>
      <c r="J175" s="4">
        <f>vlookup(F175,'mussel-ID_key'!A:C,3,false)</f>
        <v>0</v>
      </c>
      <c r="K175" s="5"/>
    </row>
    <row r="176" hidden="1">
      <c r="A176" s="2">
        <v>232.0</v>
      </c>
      <c r="B176" s="6" t="s">
        <v>313</v>
      </c>
      <c r="C176" s="2" t="s">
        <v>298</v>
      </c>
      <c r="D176" s="2">
        <v>8.0</v>
      </c>
      <c r="E176" s="4" t="str">
        <f t="shared" si="3"/>
        <v>tross</v>
      </c>
      <c r="F176" s="6" t="s">
        <v>314</v>
      </c>
      <c r="G176" s="2" t="s">
        <v>14</v>
      </c>
      <c r="H176" s="2" t="s">
        <v>300</v>
      </c>
      <c r="I176" s="5" t="s">
        <v>301</v>
      </c>
      <c r="J176" s="4">
        <f>vlookup(F176,'mussel-ID_key'!A:C,3,false)</f>
        <v>0</v>
      </c>
      <c r="K176" s="5"/>
    </row>
    <row r="177" hidden="1">
      <c r="A177" s="2">
        <v>244.0</v>
      </c>
      <c r="B177" s="6" t="s">
        <v>315</v>
      </c>
      <c r="C177" s="2" t="s">
        <v>298</v>
      </c>
      <c r="D177" s="2">
        <v>8.0</v>
      </c>
      <c r="E177" s="4" t="str">
        <f t="shared" si="3"/>
        <v>tross</v>
      </c>
      <c r="F177" s="6" t="s">
        <v>314</v>
      </c>
      <c r="G177" s="2" t="s">
        <v>18</v>
      </c>
      <c r="H177" s="2" t="s">
        <v>300</v>
      </c>
      <c r="I177" s="5" t="s">
        <v>303</v>
      </c>
      <c r="J177" s="4">
        <f>vlookup(F177,'mussel-ID_key'!A:C,3,false)</f>
        <v>0</v>
      </c>
      <c r="K177" s="5"/>
    </row>
    <row r="178" hidden="1">
      <c r="A178" s="2">
        <v>233.0</v>
      </c>
      <c r="B178" s="6" t="s">
        <v>316</v>
      </c>
      <c r="C178" s="2" t="s">
        <v>298</v>
      </c>
      <c r="D178" s="2">
        <v>8.0</v>
      </c>
      <c r="E178" s="4" t="str">
        <f t="shared" si="3"/>
        <v>tross</v>
      </c>
      <c r="F178" s="6" t="s">
        <v>317</v>
      </c>
      <c r="G178" s="2" t="s">
        <v>14</v>
      </c>
      <c r="H178" s="2" t="s">
        <v>300</v>
      </c>
      <c r="I178" s="5" t="s">
        <v>301</v>
      </c>
      <c r="J178" s="4">
        <f>vlookup(F178,'mussel-ID_key'!A:C,3,false)</f>
        <v>0</v>
      </c>
      <c r="K178" s="5"/>
    </row>
    <row r="179" hidden="1">
      <c r="A179" s="2">
        <v>245.0</v>
      </c>
      <c r="B179" s="6" t="s">
        <v>318</v>
      </c>
      <c r="C179" s="2" t="s">
        <v>298</v>
      </c>
      <c r="D179" s="2">
        <v>8.0</v>
      </c>
      <c r="E179" s="4" t="str">
        <f t="shared" si="3"/>
        <v>tross</v>
      </c>
      <c r="F179" s="6" t="s">
        <v>317</v>
      </c>
      <c r="G179" s="2" t="s">
        <v>18</v>
      </c>
      <c r="H179" s="2" t="s">
        <v>300</v>
      </c>
      <c r="I179" s="5" t="s">
        <v>303</v>
      </c>
      <c r="J179" s="4">
        <f>vlookup(F179,'mussel-ID_key'!A:C,3,false)</f>
        <v>0</v>
      </c>
      <c r="K179" s="5"/>
    </row>
    <row r="180" hidden="1">
      <c r="A180" s="2">
        <v>234.0</v>
      </c>
      <c r="B180" s="6" t="s">
        <v>319</v>
      </c>
      <c r="C180" s="2" t="s">
        <v>298</v>
      </c>
      <c r="D180" s="2">
        <v>8.0</v>
      </c>
      <c r="E180" s="4" t="str">
        <f t="shared" si="3"/>
        <v>tross</v>
      </c>
      <c r="F180" s="6" t="s">
        <v>320</v>
      </c>
      <c r="G180" s="2" t="s">
        <v>14</v>
      </c>
      <c r="H180" s="2" t="s">
        <v>300</v>
      </c>
      <c r="I180" s="5" t="s">
        <v>301</v>
      </c>
      <c r="J180" s="4">
        <f>vlookup(F180,'mussel-ID_key'!A:C,3,false)</f>
        <v>0</v>
      </c>
      <c r="K180" s="5"/>
    </row>
    <row r="181" hidden="1">
      <c r="A181" s="2">
        <v>246.0</v>
      </c>
      <c r="B181" s="6" t="s">
        <v>321</v>
      </c>
      <c r="C181" s="3" t="s">
        <v>298</v>
      </c>
      <c r="D181" s="2">
        <v>8.0</v>
      </c>
      <c r="E181" s="4" t="str">
        <f t="shared" si="3"/>
        <v>tross</v>
      </c>
      <c r="F181" s="6" t="s">
        <v>320</v>
      </c>
      <c r="G181" s="2" t="s">
        <v>18</v>
      </c>
      <c r="H181" s="2" t="s">
        <v>300</v>
      </c>
      <c r="I181" s="5" t="s">
        <v>303</v>
      </c>
      <c r="J181" s="4">
        <f>vlookup(F181,'mussel-ID_key'!A:C,3,false)</f>
        <v>0</v>
      </c>
      <c r="K181" s="5"/>
    </row>
    <row r="182" hidden="1">
      <c r="A182" s="2">
        <v>235.0</v>
      </c>
      <c r="B182" s="6" t="s">
        <v>322</v>
      </c>
      <c r="C182" s="2" t="s">
        <v>298</v>
      </c>
      <c r="D182" s="2">
        <v>8.0</v>
      </c>
      <c r="E182" s="4" t="str">
        <f t="shared" si="3"/>
        <v>tross</v>
      </c>
      <c r="F182" s="6" t="s">
        <v>323</v>
      </c>
      <c r="G182" s="2" t="s">
        <v>14</v>
      </c>
      <c r="H182" s="2" t="s">
        <v>300</v>
      </c>
      <c r="I182" s="5" t="s">
        <v>301</v>
      </c>
      <c r="J182" s="4">
        <f>vlookup(F182,'mussel-ID_key'!A:C,3,false)</f>
        <v>0</v>
      </c>
      <c r="K182" s="5"/>
    </row>
    <row r="183" hidden="1">
      <c r="A183" s="2">
        <v>247.0</v>
      </c>
      <c r="B183" s="6" t="s">
        <v>324</v>
      </c>
      <c r="C183" s="2" t="s">
        <v>298</v>
      </c>
      <c r="D183" s="2">
        <v>8.0</v>
      </c>
      <c r="E183" s="4" t="str">
        <f t="shared" si="3"/>
        <v>tross</v>
      </c>
      <c r="F183" s="6" t="s">
        <v>323</v>
      </c>
      <c r="G183" s="2" t="s">
        <v>18</v>
      </c>
      <c r="H183" s="2" t="s">
        <v>300</v>
      </c>
      <c r="I183" s="5" t="s">
        <v>303</v>
      </c>
      <c r="J183" s="4">
        <f>vlookup(F183,'mussel-ID_key'!A:C,3,false)</f>
        <v>0</v>
      </c>
      <c r="K183" s="5"/>
    </row>
    <row r="184" hidden="1">
      <c r="A184" s="2">
        <v>236.0</v>
      </c>
      <c r="B184" s="6" t="s">
        <v>325</v>
      </c>
      <c r="C184" s="2" t="s">
        <v>298</v>
      </c>
      <c r="D184" s="2">
        <v>8.0</v>
      </c>
      <c r="E184" s="4" t="str">
        <f t="shared" si="3"/>
        <v>tross</v>
      </c>
      <c r="F184" s="6" t="s">
        <v>326</v>
      </c>
      <c r="G184" s="2" t="s">
        <v>14</v>
      </c>
      <c r="H184" s="2" t="s">
        <v>300</v>
      </c>
      <c r="I184" s="5" t="s">
        <v>301</v>
      </c>
      <c r="J184" s="4">
        <f>vlookup(F184,'mussel-ID_key'!A:C,3,false)</f>
        <v>0</v>
      </c>
      <c r="K184" s="5"/>
    </row>
    <row r="185" hidden="1">
      <c r="A185" s="2">
        <v>248.0</v>
      </c>
      <c r="B185" s="6" t="s">
        <v>327</v>
      </c>
      <c r="C185" s="2" t="s">
        <v>298</v>
      </c>
      <c r="D185" s="2">
        <v>8.0</v>
      </c>
      <c r="E185" s="4" t="str">
        <f t="shared" si="3"/>
        <v>tross</v>
      </c>
      <c r="F185" s="6" t="s">
        <v>326</v>
      </c>
      <c r="G185" s="2" t="s">
        <v>18</v>
      </c>
      <c r="H185" s="2" t="s">
        <v>300</v>
      </c>
      <c r="I185" s="5" t="s">
        <v>303</v>
      </c>
      <c r="J185" s="4">
        <f>vlookup(F185,'mussel-ID_key'!A:C,3,false)</f>
        <v>0</v>
      </c>
      <c r="K185" s="5"/>
    </row>
    <row r="186" hidden="1">
      <c r="A186" s="2">
        <v>237.0</v>
      </c>
      <c r="B186" s="6" t="s">
        <v>328</v>
      </c>
      <c r="C186" s="2" t="s">
        <v>298</v>
      </c>
      <c r="D186" s="2">
        <v>8.0</v>
      </c>
      <c r="E186" s="4" t="str">
        <f t="shared" si="3"/>
        <v>tross</v>
      </c>
      <c r="F186" s="6" t="s">
        <v>329</v>
      </c>
      <c r="G186" s="2" t="s">
        <v>14</v>
      </c>
      <c r="H186" s="2" t="s">
        <v>300</v>
      </c>
      <c r="I186" s="5" t="s">
        <v>301</v>
      </c>
      <c r="J186" s="4">
        <f>vlookup(F186,'mussel-ID_key'!A:C,3,false)</f>
        <v>0</v>
      </c>
      <c r="K186" s="5"/>
    </row>
    <row r="187" hidden="1">
      <c r="A187" s="2">
        <v>249.0</v>
      </c>
      <c r="B187" s="6" t="s">
        <v>330</v>
      </c>
      <c r="C187" s="2" t="s">
        <v>298</v>
      </c>
      <c r="D187" s="2">
        <v>8.0</v>
      </c>
      <c r="E187" s="4" t="str">
        <f t="shared" si="3"/>
        <v>tross</v>
      </c>
      <c r="F187" s="6" t="s">
        <v>329</v>
      </c>
      <c r="G187" s="2" t="s">
        <v>18</v>
      </c>
      <c r="H187" s="2" t="s">
        <v>300</v>
      </c>
      <c r="I187" s="5" t="s">
        <v>303</v>
      </c>
      <c r="J187" s="4">
        <f>vlookup(F187,'mussel-ID_key'!A:C,3,false)</f>
        <v>0</v>
      </c>
      <c r="K187" s="5"/>
    </row>
    <row r="188" hidden="1">
      <c r="A188" s="2">
        <v>238.0</v>
      </c>
      <c r="B188" s="6" t="s">
        <v>331</v>
      </c>
      <c r="C188" s="2" t="s">
        <v>298</v>
      </c>
      <c r="D188" s="2">
        <v>8.0</v>
      </c>
      <c r="E188" s="4" t="str">
        <f t="shared" si="3"/>
        <v>tross</v>
      </c>
      <c r="F188" s="6" t="s">
        <v>332</v>
      </c>
      <c r="G188" s="2" t="s">
        <v>14</v>
      </c>
      <c r="H188" s="2" t="s">
        <v>300</v>
      </c>
      <c r="I188" s="5" t="s">
        <v>301</v>
      </c>
      <c r="J188" s="4">
        <f>vlookup(F188,'mussel-ID_key'!A:C,3,false)</f>
        <v>0</v>
      </c>
      <c r="K188" s="5"/>
    </row>
    <row r="189" hidden="1">
      <c r="A189" s="2">
        <v>250.0</v>
      </c>
      <c r="B189" s="6" t="s">
        <v>333</v>
      </c>
      <c r="C189" s="2" t="s">
        <v>298</v>
      </c>
      <c r="D189" s="2">
        <v>8.0</v>
      </c>
      <c r="E189" s="4" t="str">
        <f t="shared" si="3"/>
        <v>tross</v>
      </c>
      <c r="F189" s="6" t="s">
        <v>332</v>
      </c>
      <c r="G189" s="2" t="s">
        <v>18</v>
      </c>
      <c r="H189" s="2" t="s">
        <v>300</v>
      </c>
      <c r="I189" s="5" t="s">
        <v>303</v>
      </c>
      <c r="J189" s="4">
        <f>vlookup(F189,'mussel-ID_key'!A:C,3,false)</f>
        <v>0</v>
      </c>
      <c r="K189" s="5"/>
    </row>
    <row r="190" hidden="1">
      <c r="A190" s="2">
        <v>239.0</v>
      </c>
      <c r="B190" s="6" t="s">
        <v>334</v>
      </c>
      <c r="C190" s="2" t="s">
        <v>298</v>
      </c>
      <c r="D190" s="2">
        <v>8.0</v>
      </c>
      <c r="E190" s="4" t="str">
        <f t="shared" si="3"/>
        <v>tross</v>
      </c>
      <c r="F190" s="6" t="s">
        <v>335</v>
      </c>
      <c r="G190" s="2" t="s">
        <v>14</v>
      </c>
      <c r="H190" s="2" t="s">
        <v>300</v>
      </c>
      <c r="I190" s="5" t="s">
        <v>301</v>
      </c>
      <c r="J190" s="4">
        <f>vlookup(F190,'mussel-ID_key'!A:C,3,false)</f>
        <v>0</v>
      </c>
      <c r="K190" s="5"/>
    </row>
    <row r="191" hidden="1">
      <c r="A191" s="2">
        <v>251.0</v>
      </c>
      <c r="B191" s="6" t="s">
        <v>336</v>
      </c>
      <c r="C191" s="2" t="s">
        <v>298</v>
      </c>
      <c r="D191" s="2">
        <v>8.0</v>
      </c>
      <c r="E191" s="4" t="str">
        <f t="shared" si="3"/>
        <v>tross</v>
      </c>
      <c r="F191" s="6" t="s">
        <v>335</v>
      </c>
      <c r="G191" s="2" t="s">
        <v>18</v>
      </c>
      <c r="H191" s="2" t="s">
        <v>300</v>
      </c>
      <c r="I191" s="5" t="s">
        <v>303</v>
      </c>
      <c r="J191" s="4">
        <f>vlookup(F191,'mussel-ID_key'!A:C,3,false)</f>
        <v>0</v>
      </c>
      <c r="K191" s="5"/>
    </row>
    <row r="192" hidden="1">
      <c r="A192" s="2">
        <v>240.0</v>
      </c>
      <c r="B192" s="6" t="s">
        <v>337</v>
      </c>
      <c r="C192" s="2" t="s">
        <v>298</v>
      </c>
      <c r="D192" s="2">
        <v>8.0</v>
      </c>
      <c r="E192" s="4" t="str">
        <f t="shared" si="3"/>
        <v>tross</v>
      </c>
      <c r="F192" s="6" t="s">
        <v>338</v>
      </c>
      <c r="G192" s="2" t="s">
        <v>14</v>
      </c>
      <c r="H192" s="2" t="s">
        <v>300</v>
      </c>
      <c r="I192" s="5" t="s">
        <v>301</v>
      </c>
      <c r="J192" s="4">
        <f>vlookup(F192,'mussel-ID_key'!A:C,3,false)</f>
        <v>0</v>
      </c>
      <c r="K192" s="5"/>
    </row>
    <row r="193" hidden="1">
      <c r="A193" s="2">
        <v>252.0</v>
      </c>
      <c r="B193" s="6" t="s">
        <v>339</v>
      </c>
      <c r="C193" s="3" t="s">
        <v>298</v>
      </c>
      <c r="D193" s="2">
        <v>8.0</v>
      </c>
      <c r="E193" s="4" t="str">
        <f t="shared" si="3"/>
        <v>tross</v>
      </c>
      <c r="F193" s="6" t="s">
        <v>338</v>
      </c>
      <c r="G193" s="2" t="s">
        <v>18</v>
      </c>
      <c r="H193" s="2" t="s">
        <v>300</v>
      </c>
      <c r="I193" s="5" t="s">
        <v>303</v>
      </c>
      <c r="J193" s="4">
        <f>vlookup(F193,'mussel-ID_key'!A:C,3,false)</f>
        <v>0</v>
      </c>
      <c r="K193" s="5"/>
    </row>
    <row r="194">
      <c r="A194" s="2">
        <v>76.0</v>
      </c>
      <c r="B194" s="6" t="s">
        <v>340</v>
      </c>
      <c r="C194" s="2" t="s">
        <v>55</v>
      </c>
      <c r="D194" s="2">
        <v>4.0</v>
      </c>
      <c r="E194" s="4" t="str">
        <f t="shared" si="3"/>
        <v>tross</v>
      </c>
      <c r="F194" s="5" t="s">
        <v>341</v>
      </c>
      <c r="G194" s="2" t="s">
        <v>14</v>
      </c>
      <c r="H194" s="2" t="s">
        <v>248</v>
      </c>
      <c r="I194" s="5" t="s">
        <v>249</v>
      </c>
      <c r="J194" s="4">
        <f>vlookup(F194,'mussel-ID_key'!A:C,3,false)</f>
        <v>1</v>
      </c>
      <c r="K194" s="2" t="s">
        <v>200</v>
      </c>
    </row>
    <row r="195">
      <c r="A195" s="2">
        <v>88.0</v>
      </c>
      <c r="B195" s="6" t="s">
        <v>342</v>
      </c>
      <c r="C195" s="2" t="s">
        <v>60</v>
      </c>
      <c r="D195" s="2">
        <v>3.0</v>
      </c>
      <c r="E195" s="4" t="str">
        <f t="shared" si="3"/>
        <v>tross</v>
      </c>
      <c r="F195" s="5" t="s">
        <v>341</v>
      </c>
      <c r="G195" s="5" t="s">
        <v>18</v>
      </c>
      <c r="H195" s="2" t="s">
        <v>248</v>
      </c>
      <c r="I195" s="5" t="s">
        <v>251</v>
      </c>
      <c r="J195" s="4">
        <f>vlookup(F195,'mussel-ID_key'!A:C,3,false)</f>
        <v>1</v>
      </c>
      <c r="K195" s="2" t="s">
        <v>200</v>
      </c>
    </row>
    <row r="196">
      <c r="A196" s="2">
        <v>77.0</v>
      </c>
      <c r="B196" s="6" t="s">
        <v>343</v>
      </c>
      <c r="C196" s="2" t="s">
        <v>55</v>
      </c>
      <c r="D196" s="2">
        <v>4.0</v>
      </c>
      <c r="E196" s="4" t="str">
        <f t="shared" si="3"/>
        <v>tross</v>
      </c>
      <c r="F196" s="5" t="s">
        <v>344</v>
      </c>
      <c r="G196" s="2" t="s">
        <v>14</v>
      </c>
      <c r="H196" s="2" t="s">
        <v>248</v>
      </c>
      <c r="I196" s="5" t="s">
        <v>249</v>
      </c>
      <c r="J196" s="4">
        <f>vlookup(F196,'mussel-ID_key'!A:C,3,false)</f>
        <v>1</v>
      </c>
      <c r="K196" s="2" t="s">
        <v>200</v>
      </c>
    </row>
    <row r="197">
      <c r="A197" s="2">
        <v>89.0</v>
      </c>
      <c r="B197" s="6" t="s">
        <v>345</v>
      </c>
      <c r="C197" s="2" t="s">
        <v>60</v>
      </c>
      <c r="D197" s="2">
        <v>3.0</v>
      </c>
      <c r="E197" s="4" t="str">
        <f t="shared" si="3"/>
        <v>tross</v>
      </c>
      <c r="F197" s="5" t="s">
        <v>344</v>
      </c>
      <c r="G197" s="5" t="s">
        <v>18</v>
      </c>
      <c r="H197" s="2" t="s">
        <v>248</v>
      </c>
      <c r="I197" s="5" t="s">
        <v>251</v>
      </c>
      <c r="J197" s="4">
        <f>vlookup(F197,'mussel-ID_key'!A:C,3,false)</f>
        <v>1</v>
      </c>
      <c r="K197" s="2" t="s">
        <v>200</v>
      </c>
    </row>
    <row r="198">
      <c r="A198" s="2">
        <v>78.0</v>
      </c>
      <c r="B198" s="6" t="s">
        <v>346</v>
      </c>
      <c r="C198" s="2" t="s">
        <v>55</v>
      </c>
      <c r="D198" s="2">
        <v>4.0</v>
      </c>
      <c r="E198" s="4" t="str">
        <f t="shared" si="3"/>
        <v>tross</v>
      </c>
      <c r="F198" s="5" t="s">
        <v>347</v>
      </c>
      <c r="G198" s="2" t="s">
        <v>14</v>
      </c>
      <c r="H198" s="2" t="s">
        <v>248</v>
      </c>
      <c r="I198" s="5" t="s">
        <v>249</v>
      </c>
      <c r="J198" s="4">
        <f>vlookup(F198,'mussel-ID_key'!A:C,3,false)</f>
        <v>1</v>
      </c>
      <c r="K198" s="2" t="s">
        <v>200</v>
      </c>
    </row>
    <row r="199">
      <c r="A199" s="2">
        <v>90.0</v>
      </c>
      <c r="B199" s="6" t="s">
        <v>348</v>
      </c>
      <c r="C199" s="2" t="s">
        <v>60</v>
      </c>
      <c r="D199" s="2">
        <v>3.0</v>
      </c>
      <c r="E199" s="4" t="str">
        <f t="shared" si="3"/>
        <v>tross</v>
      </c>
      <c r="F199" s="5" t="s">
        <v>347</v>
      </c>
      <c r="G199" s="5" t="s">
        <v>18</v>
      </c>
      <c r="H199" s="2" t="s">
        <v>248</v>
      </c>
      <c r="I199" s="5" t="s">
        <v>251</v>
      </c>
      <c r="J199" s="4">
        <f>vlookup(F199,'mussel-ID_key'!A:C,3,false)</f>
        <v>1</v>
      </c>
      <c r="K199" s="2" t="s">
        <v>200</v>
      </c>
    </row>
    <row r="200">
      <c r="A200" s="2">
        <v>79.0</v>
      </c>
      <c r="B200" s="6" t="s">
        <v>349</v>
      </c>
      <c r="C200" s="2" t="s">
        <v>55</v>
      </c>
      <c r="D200" s="2">
        <v>4.0</v>
      </c>
      <c r="E200" s="4" t="str">
        <f t="shared" si="3"/>
        <v>tross</v>
      </c>
      <c r="F200" s="5" t="s">
        <v>350</v>
      </c>
      <c r="G200" s="2" t="s">
        <v>14</v>
      </c>
      <c r="H200" s="2" t="s">
        <v>248</v>
      </c>
      <c r="I200" s="5" t="s">
        <v>249</v>
      </c>
      <c r="J200" s="4">
        <f>vlookup(F200,'mussel-ID_key'!A:C,3,false)</f>
        <v>1</v>
      </c>
      <c r="K200" s="2" t="s">
        <v>200</v>
      </c>
    </row>
    <row r="201">
      <c r="A201" s="2">
        <v>91.0</v>
      </c>
      <c r="B201" s="6" t="s">
        <v>351</v>
      </c>
      <c r="C201" s="2" t="s">
        <v>60</v>
      </c>
      <c r="D201" s="2">
        <v>3.0</v>
      </c>
      <c r="E201" s="4" t="str">
        <f t="shared" si="3"/>
        <v>tross</v>
      </c>
      <c r="F201" s="5" t="s">
        <v>350</v>
      </c>
      <c r="G201" s="5" t="s">
        <v>18</v>
      </c>
      <c r="H201" s="2" t="s">
        <v>248</v>
      </c>
      <c r="I201" s="5" t="s">
        <v>251</v>
      </c>
      <c r="J201" s="4">
        <f>vlookup(F201,'mussel-ID_key'!A:C,3,false)</f>
        <v>1</v>
      </c>
      <c r="K201" s="2" t="s">
        <v>200</v>
      </c>
    </row>
    <row r="202">
      <c r="A202" s="2">
        <v>80.0</v>
      </c>
      <c r="B202" s="6" t="s">
        <v>352</v>
      </c>
      <c r="C202" s="2" t="s">
        <v>55</v>
      </c>
      <c r="D202" s="2">
        <v>4.0</v>
      </c>
      <c r="E202" s="4" t="str">
        <f t="shared" si="3"/>
        <v>tross</v>
      </c>
      <c r="F202" s="5" t="s">
        <v>353</v>
      </c>
      <c r="G202" s="2" t="s">
        <v>14</v>
      </c>
      <c r="H202" s="2" t="s">
        <v>248</v>
      </c>
      <c r="I202" s="5" t="s">
        <v>249</v>
      </c>
      <c r="J202" s="4">
        <f>vlookup(F202,'mussel-ID_key'!A:C,3,false)</f>
        <v>1</v>
      </c>
      <c r="K202" s="2" t="s">
        <v>200</v>
      </c>
    </row>
    <row r="203">
      <c r="A203" s="2">
        <v>92.0</v>
      </c>
      <c r="B203" s="6" t="s">
        <v>354</v>
      </c>
      <c r="C203" s="2" t="s">
        <v>60</v>
      </c>
      <c r="D203" s="2">
        <v>3.0</v>
      </c>
      <c r="E203" s="4" t="str">
        <f t="shared" si="3"/>
        <v>tross</v>
      </c>
      <c r="F203" s="5" t="s">
        <v>353</v>
      </c>
      <c r="G203" s="5" t="s">
        <v>18</v>
      </c>
      <c r="H203" s="2" t="s">
        <v>248</v>
      </c>
      <c r="I203" s="5" t="s">
        <v>251</v>
      </c>
      <c r="J203" s="4">
        <f>vlookup(F203,'mussel-ID_key'!A:C,3,false)</f>
        <v>1</v>
      </c>
      <c r="K203" s="2" t="s">
        <v>200</v>
      </c>
    </row>
    <row r="204">
      <c r="A204" s="2">
        <v>81.0</v>
      </c>
      <c r="B204" s="6" t="s">
        <v>355</v>
      </c>
      <c r="C204" s="2" t="s">
        <v>55</v>
      </c>
      <c r="D204" s="2">
        <v>4.0</v>
      </c>
      <c r="E204" s="4" t="str">
        <f t="shared" si="3"/>
        <v>tross</v>
      </c>
      <c r="F204" s="5" t="s">
        <v>356</v>
      </c>
      <c r="G204" s="2" t="s">
        <v>14</v>
      </c>
      <c r="H204" s="2" t="s">
        <v>248</v>
      </c>
      <c r="I204" s="5" t="s">
        <v>249</v>
      </c>
      <c r="J204" s="4">
        <f>vlookup(F204,'mussel-ID_key'!A:C,3,false)</f>
        <v>1</v>
      </c>
      <c r="K204" s="2" t="s">
        <v>200</v>
      </c>
    </row>
    <row r="205">
      <c r="A205" s="2">
        <v>93.0</v>
      </c>
      <c r="B205" s="6" t="s">
        <v>357</v>
      </c>
      <c r="C205" s="2" t="s">
        <v>60</v>
      </c>
      <c r="D205" s="2">
        <v>3.0</v>
      </c>
      <c r="E205" s="4" t="str">
        <f t="shared" si="3"/>
        <v>tross</v>
      </c>
      <c r="F205" s="5" t="s">
        <v>356</v>
      </c>
      <c r="G205" s="5" t="s">
        <v>18</v>
      </c>
      <c r="H205" s="2" t="s">
        <v>248</v>
      </c>
      <c r="I205" s="5" t="s">
        <v>251</v>
      </c>
      <c r="J205" s="4">
        <f>vlookup(F205,'mussel-ID_key'!A:C,3,false)</f>
        <v>1</v>
      </c>
      <c r="K205" s="2" t="s">
        <v>200</v>
      </c>
    </row>
    <row r="206">
      <c r="A206" s="2">
        <v>82.0</v>
      </c>
      <c r="B206" s="6" t="s">
        <v>358</v>
      </c>
      <c r="C206" s="2" t="s">
        <v>55</v>
      </c>
      <c r="D206" s="2">
        <v>4.0</v>
      </c>
      <c r="E206" s="4" t="str">
        <f t="shared" si="3"/>
        <v>tross</v>
      </c>
      <c r="F206" s="5" t="s">
        <v>359</v>
      </c>
      <c r="G206" s="2" t="s">
        <v>14</v>
      </c>
      <c r="H206" s="2" t="s">
        <v>248</v>
      </c>
      <c r="I206" s="5" t="s">
        <v>249</v>
      </c>
      <c r="J206" s="4">
        <f>vlookup(F206,'mussel-ID_key'!A:C,3,false)</f>
        <v>1</v>
      </c>
      <c r="K206" s="2" t="s">
        <v>200</v>
      </c>
    </row>
    <row r="207">
      <c r="A207" s="2">
        <v>94.0</v>
      </c>
      <c r="B207" s="6" t="s">
        <v>360</v>
      </c>
      <c r="C207" s="2" t="s">
        <v>60</v>
      </c>
      <c r="D207" s="2">
        <v>3.0</v>
      </c>
      <c r="E207" s="4" t="str">
        <f t="shared" si="3"/>
        <v>tross</v>
      </c>
      <c r="F207" s="5" t="s">
        <v>359</v>
      </c>
      <c r="G207" s="5" t="s">
        <v>18</v>
      </c>
      <c r="H207" s="2" t="s">
        <v>248</v>
      </c>
      <c r="I207" s="5" t="s">
        <v>251</v>
      </c>
      <c r="J207" s="4">
        <f>vlookup(F207,'mussel-ID_key'!A:C,3,false)</f>
        <v>1</v>
      </c>
      <c r="K207" s="2" t="s">
        <v>200</v>
      </c>
    </row>
    <row r="208">
      <c r="A208" s="2">
        <v>83.0</v>
      </c>
      <c r="B208" s="6" t="s">
        <v>361</v>
      </c>
      <c r="C208" s="2" t="s">
        <v>55</v>
      </c>
      <c r="D208" s="2">
        <v>4.0</v>
      </c>
      <c r="E208" s="4" t="str">
        <f t="shared" si="3"/>
        <v>tross</v>
      </c>
      <c r="F208" s="5" t="s">
        <v>362</v>
      </c>
      <c r="G208" s="2" t="s">
        <v>14</v>
      </c>
      <c r="H208" s="2" t="s">
        <v>248</v>
      </c>
      <c r="I208" s="5" t="s">
        <v>249</v>
      </c>
      <c r="J208" s="4">
        <f>vlookup(F208,'mussel-ID_key'!A:C,3,false)</f>
        <v>1</v>
      </c>
      <c r="K208" s="2" t="s">
        <v>200</v>
      </c>
    </row>
    <row r="209">
      <c r="A209" s="2">
        <v>95.0</v>
      </c>
      <c r="B209" s="6" t="s">
        <v>363</v>
      </c>
      <c r="C209" s="2" t="s">
        <v>60</v>
      </c>
      <c r="D209" s="2">
        <v>3.0</v>
      </c>
      <c r="E209" s="4" t="str">
        <f t="shared" si="3"/>
        <v>tross</v>
      </c>
      <c r="F209" s="5" t="s">
        <v>362</v>
      </c>
      <c r="G209" s="5" t="s">
        <v>18</v>
      </c>
      <c r="H209" s="2" t="s">
        <v>248</v>
      </c>
      <c r="I209" s="5" t="s">
        <v>251</v>
      </c>
      <c r="J209" s="4">
        <f>vlookup(F209,'mussel-ID_key'!A:C,3,false)</f>
        <v>1</v>
      </c>
      <c r="K209" s="2" t="s">
        <v>200</v>
      </c>
    </row>
    <row r="210">
      <c r="A210" s="2">
        <v>84.0</v>
      </c>
      <c r="B210" s="6" t="s">
        <v>364</v>
      </c>
      <c r="C210" s="2" t="s">
        <v>55</v>
      </c>
      <c r="D210" s="2">
        <v>4.0</v>
      </c>
      <c r="E210" s="4" t="str">
        <f t="shared" si="3"/>
        <v>tross</v>
      </c>
      <c r="F210" s="5" t="s">
        <v>365</v>
      </c>
      <c r="G210" s="2" t="s">
        <v>14</v>
      </c>
      <c r="H210" s="2" t="s">
        <v>248</v>
      </c>
      <c r="I210" s="5" t="s">
        <v>249</v>
      </c>
      <c r="J210" s="4">
        <f>vlookup(F210,'mussel-ID_key'!A:C,3,false)</f>
        <v>1</v>
      </c>
      <c r="K210" s="2" t="s">
        <v>200</v>
      </c>
    </row>
    <row r="211">
      <c r="A211" s="2">
        <v>96.0</v>
      </c>
      <c r="B211" s="6" t="s">
        <v>366</v>
      </c>
      <c r="C211" s="2" t="s">
        <v>60</v>
      </c>
      <c r="D211" s="2">
        <v>3.0</v>
      </c>
      <c r="E211" s="4" t="str">
        <f t="shared" si="3"/>
        <v>tross</v>
      </c>
      <c r="F211" s="5" t="s">
        <v>365</v>
      </c>
      <c r="G211" s="5" t="s">
        <v>18</v>
      </c>
      <c r="H211" s="2" t="s">
        <v>248</v>
      </c>
      <c r="I211" s="5" t="s">
        <v>251</v>
      </c>
      <c r="J211" s="4">
        <f>vlookup(F211,'mussel-ID_key'!A:C,3,false)</f>
        <v>1</v>
      </c>
      <c r="K211" s="2" t="s">
        <v>200</v>
      </c>
    </row>
    <row r="212">
      <c r="A212" s="2">
        <v>97.0</v>
      </c>
      <c r="B212" s="6" t="s">
        <v>367</v>
      </c>
      <c r="C212" s="2" t="s">
        <v>78</v>
      </c>
      <c r="D212" s="2">
        <v>7.0</v>
      </c>
      <c r="E212" s="4" t="str">
        <f t="shared" si="3"/>
        <v>tross</v>
      </c>
      <c r="F212" s="6" t="s">
        <v>368</v>
      </c>
      <c r="G212" s="2" t="s">
        <v>14</v>
      </c>
      <c r="H212" s="2" t="s">
        <v>369</v>
      </c>
      <c r="I212" s="5" t="s">
        <v>370</v>
      </c>
      <c r="J212" s="4">
        <f>vlookup(F212,'mussel-ID_key'!A:C,3,false)</f>
        <v>1</v>
      </c>
      <c r="K212" s="2" t="s">
        <v>200</v>
      </c>
    </row>
    <row r="213">
      <c r="A213" s="2">
        <v>109.0</v>
      </c>
      <c r="B213" s="6" t="s">
        <v>371</v>
      </c>
      <c r="C213" s="2" t="s">
        <v>83</v>
      </c>
      <c r="D213" s="2">
        <v>5.0</v>
      </c>
      <c r="E213" s="4" t="str">
        <f t="shared" si="3"/>
        <v>tross</v>
      </c>
      <c r="F213" s="5" t="s">
        <v>368</v>
      </c>
      <c r="G213" s="2" t="s">
        <v>18</v>
      </c>
      <c r="H213" s="2" t="s">
        <v>369</v>
      </c>
      <c r="I213" s="5" t="s">
        <v>372</v>
      </c>
      <c r="J213" s="4">
        <f>vlookup(F213,'mussel-ID_key'!A:C,3,false)</f>
        <v>1</v>
      </c>
      <c r="K213" s="2" t="s">
        <v>200</v>
      </c>
    </row>
    <row r="214">
      <c r="A214" s="2">
        <v>98.0</v>
      </c>
      <c r="B214" s="6" t="s">
        <v>373</v>
      </c>
      <c r="C214" s="2" t="s">
        <v>78</v>
      </c>
      <c r="D214" s="2">
        <v>7.0</v>
      </c>
      <c r="E214" s="4" t="str">
        <f t="shared" si="3"/>
        <v>tross</v>
      </c>
      <c r="F214" s="6" t="s">
        <v>374</v>
      </c>
      <c r="G214" s="2" t="s">
        <v>14</v>
      </c>
      <c r="H214" s="2" t="s">
        <v>369</v>
      </c>
      <c r="I214" s="5" t="s">
        <v>370</v>
      </c>
      <c r="J214" s="4">
        <f>vlookup(F214,'mussel-ID_key'!A:C,3,false)</f>
        <v>1</v>
      </c>
      <c r="K214" s="2" t="s">
        <v>200</v>
      </c>
    </row>
    <row r="215">
      <c r="A215" s="2">
        <v>110.0</v>
      </c>
      <c r="B215" s="6" t="s">
        <v>375</v>
      </c>
      <c r="C215" s="2" t="s">
        <v>83</v>
      </c>
      <c r="D215" s="2">
        <v>5.0</v>
      </c>
      <c r="E215" s="4" t="str">
        <f t="shared" si="3"/>
        <v>tross</v>
      </c>
      <c r="F215" s="5" t="s">
        <v>374</v>
      </c>
      <c r="G215" s="2" t="s">
        <v>18</v>
      </c>
      <c r="H215" s="2" t="s">
        <v>369</v>
      </c>
      <c r="I215" s="5" t="s">
        <v>372</v>
      </c>
      <c r="J215" s="4">
        <f>vlookup(F215,'mussel-ID_key'!A:C,3,false)</f>
        <v>1</v>
      </c>
      <c r="K215" s="2" t="s">
        <v>200</v>
      </c>
    </row>
    <row r="216">
      <c r="A216" s="2">
        <v>99.0</v>
      </c>
      <c r="B216" s="6" t="s">
        <v>376</v>
      </c>
      <c r="C216" s="2" t="s">
        <v>78</v>
      </c>
      <c r="D216" s="2">
        <v>7.0</v>
      </c>
      <c r="E216" s="4" t="str">
        <f t="shared" si="3"/>
        <v>tross</v>
      </c>
      <c r="F216" s="6" t="s">
        <v>377</v>
      </c>
      <c r="G216" s="2" t="s">
        <v>14</v>
      </c>
      <c r="H216" s="2" t="s">
        <v>369</v>
      </c>
      <c r="I216" s="5" t="s">
        <v>370</v>
      </c>
      <c r="J216" s="4">
        <f>vlookup(F216,'mussel-ID_key'!A:C,3,false)</f>
        <v>1</v>
      </c>
      <c r="K216" s="2" t="s">
        <v>200</v>
      </c>
    </row>
    <row r="217">
      <c r="A217" s="2">
        <v>111.0</v>
      </c>
      <c r="B217" s="6" t="s">
        <v>378</v>
      </c>
      <c r="C217" s="2" t="s">
        <v>83</v>
      </c>
      <c r="D217" s="2">
        <v>5.0</v>
      </c>
      <c r="E217" s="4" t="str">
        <f t="shared" si="3"/>
        <v>tross</v>
      </c>
      <c r="F217" s="5" t="s">
        <v>377</v>
      </c>
      <c r="G217" s="2" t="s">
        <v>18</v>
      </c>
      <c r="H217" s="2" t="s">
        <v>369</v>
      </c>
      <c r="I217" s="5" t="s">
        <v>372</v>
      </c>
      <c r="J217" s="4">
        <f>vlookup(F217,'mussel-ID_key'!A:C,3,false)</f>
        <v>1</v>
      </c>
      <c r="K217" s="2" t="s">
        <v>200</v>
      </c>
    </row>
    <row r="218">
      <c r="A218" s="2">
        <v>100.0</v>
      </c>
      <c r="B218" s="6" t="s">
        <v>379</v>
      </c>
      <c r="C218" s="2" t="s">
        <v>78</v>
      </c>
      <c r="D218" s="2">
        <v>7.0</v>
      </c>
      <c r="E218" s="4" t="str">
        <f t="shared" si="3"/>
        <v>tross</v>
      </c>
      <c r="F218" s="6" t="s">
        <v>380</v>
      </c>
      <c r="G218" s="2" t="s">
        <v>14</v>
      </c>
      <c r="H218" s="2" t="s">
        <v>369</v>
      </c>
      <c r="I218" s="5" t="s">
        <v>370</v>
      </c>
      <c r="J218" s="4">
        <f>vlookup(F218,'mussel-ID_key'!A:C,3,false)</f>
        <v>1</v>
      </c>
      <c r="K218" s="2" t="s">
        <v>200</v>
      </c>
    </row>
    <row r="219">
      <c r="A219" s="2">
        <v>112.0</v>
      </c>
      <c r="B219" s="6" t="s">
        <v>381</v>
      </c>
      <c r="C219" s="2" t="s">
        <v>83</v>
      </c>
      <c r="D219" s="2">
        <v>5.0</v>
      </c>
      <c r="E219" s="4" t="str">
        <f t="shared" si="3"/>
        <v>tross</v>
      </c>
      <c r="F219" s="5" t="s">
        <v>380</v>
      </c>
      <c r="G219" s="2" t="s">
        <v>18</v>
      </c>
      <c r="H219" s="2" t="s">
        <v>369</v>
      </c>
      <c r="I219" s="5" t="s">
        <v>372</v>
      </c>
      <c r="J219" s="4">
        <f>vlookup(F219,'mussel-ID_key'!A:C,3,false)</f>
        <v>1</v>
      </c>
      <c r="K219" s="2" t="s">
        <v>200</v>
      </c>
    </row>
    <row r="220">
      <c r="A220" s="2">
        <v>101.0</v>
      </c>
      <c r="B220" s="6" t="s">
        <v>382</v>
      </c>
      <c r="C220" s="2" t="s">
        <v>78</v>
      </c>
      <c r="D220" s="2">
        <v>7.0</v>
      </c>
      <c r="E220" s="4" t="str">
        <f t="shared" si="3"/>
        <v>tross</v>
      </c>
      <c r="F220" s="6" t="s">
        <v>383</v>
      </c>
      <c r="G220" s="2" t="s">
        <v>14</v>
      </c>
      <c r="H220" s="2" t="s">
        <v>369</v>
      </c>
      <c r="I220" s="5" t="s">
        <v>370</v>
      </c>
      <c r="J220" s="4">
        <f>vlookup(F220,'mussel-ID_key'!A:C,3,false)</f>
        <v>1</v>
      </c>
      <c r="K220" s="2" t="s">
        <v>200</v>
      </c>
    </row>
    <row r="221">
      <c r="A221" s="2">
        <v>113.0</v>
      </c>
      <c r="B221" s="6" t="s">
        <v>384</v>
      </c>
      <c r="C221" s="2" t="s">
        <v>83</v>
      </c>
      <c r="D221" s="2">
        <v>5.0</v>
      </c>
      <c r="E221" s="4" t="str">
        <f t="shared" si="3"/>
        <v>tross</v>
      </c>
      <c r="F221" s="5" t="s">
        <v>383</v>
      </c>
      <c r="G221" s="2" t="s">
        <v>18</v>
      </c>
      <c r="H221" s="2" t="s">
        <v>369</v>
      </c>
      <c r="I221" s="5" t="s">
        <v>372</v>
      </c>
      <c r="J221" s="4">
        <f>vlookup(F221,'mussel-ID_key'!A:C,3,false)</f>
        <v>1</v>
      </c>
      <c r="K221" s="2" t="s">
        <v>200</v>
      </c>
    </row>
    <row r="222">
      <c r="A222" s="2">
        <v>102.0</v>
      </c>
      <c r="B222" s="6" t="s">
        <v>385</v>
      </c>
      <c r="C222" s="2" t="s">
        <v>78</v>
      </c>
      <c r="D222" s="2">
        <v>7.0</v>
      </c>
      <c r="E222" s="4" t="str">
        <f t="shared" si="3"/>
        <v>tross</v>
      </c>
      <c r="F222" s="6" t="s">
        <v>386</v>
      </c>
      <c r="G222" s="2" t="s">
        <v>14</v>
      </c>
      <c r="H222" s="2" t="s">
        <v>369</v>
      </c>
      <c r="I222" s="5" t="s">
        <v>370</v>
      </c>
      <c r="J222" s="4">
        <f>vlookup(F222,'mussel-ID_key'!A:C,3,false)</f>
        <v>1</v>
      </c>
      <c r="K222" s="2" t="s">
        <v>200</v>
      </c>
    </row>
    <row r="223">
      <c r="A223" s="2">
        <v>114.0</v>
      </c>
      <c r="B223" s="6" t="s">
        <v>387</v>
      </c>
      <c r="C223" s="2" t="s">
        <v>83</v>
      </c>
      <c r="D223" s="2">
        <v>5.0</v>
      </c>
      <c r="E223" s="4" t="str">
        <f t="shared" si="3"/>
        <v>tross</v>
      </c>
      <c r="F223" s="5" t="s">
        <v>386</v>
      </c>
      <c r="G223" s="2" t="s">
        <v>18</v>
      </c>
      <c r="H223" s="2" t="s">
        <v>369</v>
      </c>
      <c r="I223" s="5" t="s">
        <v>372</v>
      </c>
      <c r="J223" s="4">
        <f>vlookup(F223,'mussel-ID_key'!A:C,3,false)</f>
        <v>1</v>
      </c>
      <c r="K223" s="2" t="s">
        <v>200</v>
      </c>
    </row>
    <row r="224">
      <c r="A224" s="2">
        <v>103.0</v>
      </c>
      <c r="B224" s="6" t="s">
        <v>388</v>
      </c>
      <c r="C224" s="2" t="s">
        <v>78</v>
      </c>
      <c r="D224" s="2">
        <v>7.0</v>
      </c>
      <c r="E224" s="4" t="str">
        <f t="shared" si="3"/>
        <v>tross</v>
      </c>
      <c r="F224" s="6" t="s">
        <v>389</v>
      </c>
      <c r="G224" s="2" t="s">
        <v>14</v>
      </c>
      <c r="H224" s="2" t="s">
        <v>369</v>
      </c>
      <c r="I224" s="5" t="s">
        <v>370</v>
      </c>
      <c r="J224" s="4">
        <f>vlookup(F224,'mussel-ID_key'!A:C,3,false)</f>
        <v>1</v>
      </c>
      <c r="K224" s="2" t="s">
        <v>200</v>
      </c>
    </row>
    <row r="225">
      <c r="A225" s="2">
        <v>115.0</v>
      </c>
      <c r="B225" s="6" t="s">
        <v>390</v>
      </c>
      <c r="C225" s="2" t="s">
        <v>83</v>
      </c>
      <c r="D225" s="2">
        <v>5.0</v>
      </c>
      <c r="E225" s="4" t="str">
        <f t="shared" si="3"/>
        <v>tross</v>
      </c>
      <c r="F225" s="5" t="s">
        <v>389</v>
      </c>
      <c r="G225" s="2" t="s">
        <v>18</v>
      </c>
      <c r="H225" s="2" t="s">
        <v>369</v>
      </c>
      <c r="I225" s="5" t="s">
        <v>372</v>
      </c>
      <c r="J225" s="4">
        <f>vlookup(F225,'mussel-ID_key'!A:C,3,false)</f>
        <v>1</v>
      </c>
      <c r="K225" s="2" t="s">
        <v>200</v>
      </c>
    </row>
    <row r="226">
      <c r="A226" s="2">
        <v>104.0</v>
      </c>
      <c r="B226" s="6" t="s">
        <v>391</v>
      </c>
      <c r="C226" s="2" t="s">
        <v>78</v>
      </c>
      <c r="D226" s="2">
        <v>7.0</v>
      </c>
      <c r="E226" s="4" t="str">
        <f t="shared" si="3"/>
        <v>tross</v>
      </c>
      <c r="F226" s="6" t="s">
        <v>392</v>
      </c>
      <c r="G226" s="2" t="s">
        <v>14</v>
      </c>
      <c r="H226" s="2" t="s">
        <v>369</v>
      </c>
      <c r="I226" s="5" t="s">
        <v>370</v>
      </c>
      <c r="J226" s="4">
        <f>vlookup(F226,'mussel-ID_key'!A:C,3,false)</f>
        <v>1</v>
      </c>
      <c r="K226" s="2" t="s">
        <v>200</v>
      </c>
    </row>
    <row r="227">
      <c r="A227" s="2">
        <v>116.0</v>
      </c>
      <c r="B227" s="6" t="s">
        <v>393</v>
      </c>
      <c r="C227" s="2" t="s">
        <v>83</v>
      </c>
      <c r="D227" s="2">
        <v>5.0</v>
      </c>
      <c r="E227" s="4" t="str">
        <f t="shared" si="3"/>
        <v>tross</v>
      </c>
      <c r="F227" s="5" t="s">
        <v>392</v>
      </c>
      <c r="G227" s="2" t="s">
        <v>18</v>
      </c>
      <c r="H227" s="2" t="s">
        <v>369</v>
      </c>
      <c r="I227" s="5" t="s">
        <v>372</v>
      </c>
      <c r="J227" s="4">
        <f>vlookup(F227,'mussel-ID_key'!A:C,3,false)</f>
        <v>1</v>
      </c>
      <c r="K227" s="2" t="s">
        <v>200</v>
      </c>
    </row>
    <row r="228">
      <c r="A228" s="2">
        <v>105.0</v>
      </c>
      <c r="B228" s="6" t="s">
        <v>394</v>
      </c>
      <c r="C228" s="2" t="s">
        <v>78</v>
      </c>
      <c r="D228" s="2">
        <v>7.0</v>
      </c>
      <c r="E228" s="4" t="str">
        <f t="shared" si="3"/>
        <v>tross</v>
      </c>
      <c r="F228" s="6" t="s">
        <v>395</v>
      </c>
      <c r="G228" s="2" t="s">
        <v>14</v>
      </c>
      <c r="H228" s="2" t="s">
        <v>369</v>
      </c>
      <c r="I228" s="5" t="s">
        <v>370</v>
      </c>
      <c r="J228" s="4">
        <f>vlookup(F228,'mussel-ID_key'!A:C,3,false)</f>
        <v>1</v>
      </c>
      <c r="K228" s="2" t="s">
        <v>200</v>
      </c>
    </row>
    <row r="229">
      <c r="A229" s="2">
        <v>117.0</v>
      </c>
      <c r="B229" s="6" t="s">
        <v>396</v>
      </c>
      <c r="C229" s="2" t="s">
        <v>83</v>
      </c>
      <c r="D229" s="2">
        <v>5.0</v>
      </c>
      <c r="E229" s="4" t="str">
        <f t="shared" si="3"/>
        <v>tross</v>
      </c>
      <c r="F229" s="5" t="s">
        <v>395</v>
      </c>
      <c r="G229" s="2" t="s">
        <v>18</v>
      </c>
      <c r="H229" s="2" t="s">
        <v>369</v>
      </c>
      <c r="I229" s="5" t="s">
        <v>372</v>
      </c>
      <c r="J229" s="4">
        <f>vlookup(F229,'mussel-ID_key'!A:C,3,false)</f>
        <v>1</v>
      </c>
      <c r="K229" s="2" t="s">
        <v>200</v>
      </c>
    </row>
    <row r="230">
      <c r="A230" s="2">
        <v>106.0</v>
      </c>
      <c r="B230" s="6" t="s">
        <v>397</v>
      </c>
      <c r="C230" s="2" t="s">
        <v>78</v>
      </c>
      <c r="D230" s="2">
        <v>7.0</v>
      </c>
      <c r="E230" s="4" t="str">
        <f t="shared" si="3"/>
        <v>tross</v>
      </c>
      <c r="F230" s="6" t="s">
        <v>398</v>
      </c>
      <c r="G230" s="2" t="s">
        <v>14</v>
      </c>
      <c r="H230" s="2" t="s">
        <v>369</v>
      </c>
      <c r="I230" s="5" t="s">
        <v>370</v>
      </c>
      <c r="J230" s="4">
        <f>vlookup(F230,'mussel-ID_key'!A:C,3,false)</f>
        <v>1</v>
      </c>
      <c r="K230" s="2" t="s">
        <v>200</v>
      </c>
    </row>
    <row r="231">
      <c r="A231" s="2">
        <v>118.0</v>
      </c>
      <c r="B231" s="6" t="s">
        <v>399</v>
      </c>
      <c r="C231" s="2" t="s">
        <v>83</v>
      </c>
      <c r="D231" s="2">
        <v>5.0</v>
      </c>
      <c r="E231" s="4" t="str">
        <f t="shared" si="3"/>
        <v>tross</v>
      </c>
      <c r="F231" s="5" t="s">
        <v>398</v>
      </c>
      <c r="G231" s="2" t="s">
        <v>18</v>
      </c>
      <c r="H231" s="2" t="s">
        <v>369</v>
      </c>
      <c r="I231" s="5" t="s">
        <v>372</v>
      </c>
      <c r="J231" s="4">
        <f>vlookup(F231,'mussel-ID_key'!A:C,3,false)</f>
        <v>1</v>
      </c>
      <c r="K231" s="2" t="s">
        <v>200</v>
      </c>
    </row>
    <row r="232">
      <c r="A232" s="2">
        <v>107.0</v>
      </c>
      <c r="B232" s="6" t="s">
        <v>400</v>
      </c>
      <c r="C232" s="2" t="s">
        <v>78</v>
      </c>
      <c r="D232" s="2">
        <v>7.0</v>
      </c>
      <c r="E232" s="4" t="str">
        <f t="shared" si="3"/>
        <v>tross</v>
      </c>
      <c r="F232" s="5" t="s">
        <v>401</v>
      </c>
      <c r="G232" s="2" t="s">
        <v>14</v>
      </c>
      <c r="H232" s="2" t="s">
        <v>369</v>
      </c>
      <c r="I232" s="5" t="s">
        <v>370</v>
      </c>
      <c r="J232" s="4">
        <f>vlookup(F232,'mussel-ID_key'!A:C,3,false)</f>
        <v>1</v>
      </c>
      <c r="K232" s="2" t="s">
        <v>200</v>
      </c>
    </row>
    <row r="233">
      <c r="A233" s="2">
        <v>119.0</v>
      </c>
      <c r="B233" s="6" t="s">
        <v>402</v>
      </c>
      <c r="C233" s="2" t="s">
        <v>83</v>
      </c>
      <c r="D233" s="2">
        <v>5.0</v>
      </c>
      <c r="E233" s="4" t="str">
        <f t="shared" si="3"/>
        <v>tross</v>
      </c>
      <c r="F233" s="5" t="s">
        <v>401</v>
      </c>
      <c r="G233" s="2" t="s">
        <v>18</v>
      </c>
      <c r="H233" s="2" t="s">
        <v>369</v>
      </c>
      <c r="I233" s="5" t="s">
        <v>372</v>
      </c>
      <c r="J233" s="4">
        <f>vlookup(F233,'mussel-ID_key'!A:C,3,false)</f>
        <v>1</v>
      </c>
      <c r="K233" s="2" t="s">
        <v>200</v>
      </c>
    </row>
    <row r="234">
      <c r="A234" s="2">
        <v>108.0</v>
      </c>
      <c r="B234" s="6" t="s">
        <v>403</v>
      </c>
      <c r="C234" s="2" t="s">
        <v>78</v>
      </c>
      <c r="D234" s="2">
        <v>7.0</v>
      </c>
      <c r="E234" s="4" t="str">
        <f t="shared" si="3"/>
        <v>tross</v>
      </c>
      <c r="F234" s="5" t="s">
        <v>404</v>
      </c>
      <c r="G234" s="2" t="s">
        <v>14</v>
      </c>
      <c r="H234" s="2" t="s">
        <v>369</v>
      </c>
      <c r="I234" s="5" t="s">
        <v>370</v>
      </c>
      <c r="J234" s="4">
        <f>vlookup(F234,'mussel-ID_key'!A:C,3,false)</f>
        <v>1</v>
      </c>
      <c r="K234" s="2" t="s">
        <v>200</v>
      </c>
    </row>
    <row r="235">
      <c r="A235" s="2">
        <v>120.0</v>
      </c>
      <c r="B235" s="6" t="s">
        <v>405</v>
      </c>
      <c r="C235" s="2" t="s">
        <v>83</v>
      </c>
      <c r="D235" s="2">
        <v>5.0</v>
      </c>
      <c r="E235" s="4" t="str">
        <f t="shared" si="3"/>
        <v>tross</v>
      </c>
      <c r="F235" s="5" t="s">
        <v>404</v>
      </c>
      <c r="G235" s="2" t="s">
        <v>18</v>
      </c>
      <c r="H235" s="2" t="s">
        <v>369</v>
      </c>
      <c r="I235" s="5" t="s">
        <v>372</v>
      </c>
      <c r="J235" s="4">
        <f>vlookup(F235,'mussel-ID_key'!A:C,3,false)</f>
        <v>1</v>
      </c>
      <c r="K235" s="2" t="s">
        <v>200</v>
      </c>
    </row>
    <row r="236">
      <c r="A236" s="2">
        <v>52.0</v>
      </c>
      <c r="B236" s="6" t="s">
        <v>406</v>
      </c>
      <c r="C236" s="2" t="s">
        <v>78</v>
      </c>
      <c r="D236" s="2">
        <v>7.0</v>
      </c>
      <c r="E236" s="4" t="str">
        <f t="shared" si="3"/>
        <v>tross</v>
      </c>
      <c r="F236" s="5" t="s">
        <v>407</v>
      </c>
      <c r="G236" s="2" t="s">
        <v>14</v>
      </c>
      <c r="H236" s="2" t="s">
        <v>235</v>
      </c>
      <c r="I236" s="5" t="s">
        <v>236</v>
      </c>
      <c r="J236" s="4">
        <f>vlookup(F236,'mussel-ID_key'!A:C,3,false)</f>
        <v>1</v>
      </c>
      <c r="K236" s="2" t="s">
        <v>200</v>
      </c>
    </row>
    <row r="237">
      <c r="A237" s="2">
        <v>64.0</v>
      </c>
      <c r="B237" s="5" t="s">
        <v>408</v>
      </c>
      <c r="C237" s="5" t="s">
        <v>83</v>
      </c>
      <c r="D237" s="2">
        <v>5.0</v>
      </c>
      <c r="E237" s="4" t="s">
        <v>238</v>
      </c>
      <c r="F237" s="5" t="s">
        <v>407</v>
      </c>
      <c r="G237" s="2" t="s">
        <v>18</v>
      </c>
      <c r="H237" s="2" t="s">
        <v>235</v>
      </c>
      <c r="I237" s="5" t="s">
        <v>239</v>
      </c>
      <c r="J237" s="4">
        <f>vlookup(F237,'mussel-ID_key'!A:C,3,false)</f>
        <v>1</v>
      </c>
      <c r="K237" s="2" t="s">
        <v>200</v>
      </c>
    </row>
    <row r="238">
      <c r="A238" s="2">
        <v>53.0</v>
      </c>
      <c r="B238" s="6" t="s">
        <v>409</v>
      </c>
      <c r="C238" s="2" t="s">
        <v>55</v>
      </c>
      <c r="D238" s="2">
        <v>4.0</v>
      </c>
      <c r="E238" s="4" t="str">
        <f>if(left(F238,1)="G","gallo","tross")</f>
        <v>tross</v>
      </c>
      <c r="F238" s="5" t="s">
        <v>410</v>
      </c>
      <c r="G238" s="2" t="s">
        <v>14</v>
      </c>
      <c r="H238" s="2" t="s">
        <v>235</v>
      </c>
      <c r="I238" s="5" t="s">
        <v>236</v>
      </c>
      <c r="J238" s="4">
        <f>vlookup(F238,'mussel-ID_key'!A:C,3,false)</f>
        <v>1</v>
      </c>
      <c r="K238" s="2" t="s">
        <v>200</v>
      </c>
    </row>
    <row r="239">
      <c r="A239" s="2">
        <v>65.0</v>
      </c>
      <c r="B239" s="5" t="s">
        <v>411</v>
      </c>
      <c r="C239" s="5" t="s">
        <v>60</v>
      </c>
      <c r="D239" s="2">
        <v>3.0</v>
      </c>
      <c r="E239" s="4" t="s">
        <v>238</v>
      </c>
      <c r="F239" s="5" t="s">
        <v>410</v>
      </c>
      <c r="G239" s="2" t="s">
        <v>18</v>
      </c>
      <c r="H239" s="2" t="s">
        <v>235</v>
      </c>
      <c r="I239" s="5" t="s">
        <v>239</v>
      </c>
      <c r="J239" s="4">
        <f>vlookup(F239,'mussel-ID_key'!A:C,3,false)</f>
        <v>1</v>
      </c>
      <c r="K239" s="2" t="s">
        <v>200</v>
      </c>
    </row>
    <row r="240">
      <c r="A240" s="2">
        <v>54.0</v>
      </c>
      <c r="B240" s="6" t="s">
        <v>412</v>
      </c>
      <c r="C240" s="2" t="s">
        <v>78</v>
      </c>
      <c r="D240" s="2">
        <v>7.0</v>
      </c>
      <c r="E240" s="4" t="str">
        <f>if(left(F240,1)="G","gallo","tross")</f>
        <v>tross</v>
      </c>
      <c r="F240" s="5" t="s">
        <v>413</v>
      </c>
      <c r="G240" s="2" t="s">
        <v>14</v>
      </c>
      <c r="H240" s="2" t="s">
        <v>235</v>
      </c>
      <c r="I240" s="5" t="s">
        <v>236</v>
      </c>
      <c r="J240" s="4">
        <f>vlookup(F240,'mussel-ID_key'!A:C,3,false)</f>
        <v>1</v>
      </c>
      <c r="K240" s="2" t="s">
        <v>200</v>
      </c>
    </row>
    <row r="241">
      <c r="A241" s="2">
        <v>66.0</v>
      </c>
      <c r="B241" s="5" t="s">
        <v>414</v>
      </c>
      <c r="C241" s="5" t="s">
        <v>83</v>
      </c>
      <c r="D241" s="2">
        <v>5.0</v>
      </c>
      <c r="E241" s="4" t="s">
        <v>238</v>
      </c>
      <c r="F241" s="5" t="s">
        <v>413</v>
      </c>
      <c r="G241" s="2" t="s">
        <v>18</v>
      </c>
      <c r="H241" s="2" t="s">
        <v>235</v>
      </c>
      <c r="I241" s="5" t="s">
        <v>239</v>
      </c>
      <c r="J241" s="4">
        <f>vlookup(F241,'mussel-ID_key'!A:C,3,false)</f>
        <v>1</v>
      </c>
      <c r="K241" s="2" t="s">
        <v>200</v>
      </c>
    </row>
    <row r="242">
      <c r="A242" s="2">
        <v>55.0</v>
      </c>
      <c r="B242" s="6" t="s">
        <v>415</v>
      </c>
      <c r="C242" s="2" t="s">
        <v>78</v>
      </c>
      <c r="D242" s="2">
        <v>7.0</v>
      </c>
      <c r="E242" s="4" t="str">
        <f>if(left(F242,1)="G","gallo","tross")</f>
        <v>tross</v>
      </c>
      <c r="F242" s="5" t="s">
        <v>416</v>
      </c>
      <c r="G242" s="2" t="s">
        <v>14</v>
      </c>
      <c r="H242" s="2" t="s">
        <v>235</v>
      </c>
      <c r="I242" s="5" t="s">
        <v>236</v>
      </c>
      <c r="J242" s="4">
        <f>vlookup(F242,'mussel-ID_key'!A:C,3,false)</f>
        <v>1</v>
      </c>
      <c r="K242" s="2" t="s">
        <v>200</v>
      </c>
    </row>
    <row r="243">
      <c r="A243" s="2">
        <v>67.0</v>
      </c>
      <c r="B243" s="5" t="s">
        <v>417</v>
      </c>
      <c r="C243" s="5" t="s">
        <v>83</v>
      </c>
      <c r="D243" s="2">
        <v>5.0</v>
      </c>
      <c r="E243" s="4" t="s">
        <v>238</v>
      </c>
      <c r="F243" s="5" t="s">
        <v>416</v>
      </c>
      <c r="G243" s="2" t="s">
        <v>18</v>
      </c>
      <c r="H243" s="2" t="s">
        <v>235</v>
      </c>
      <c r="I243" s="5" t="s">
        <v>239</v>
      </c>
      <c r="J243" s="4">
        <f>vlookup(F243,'mussel-ID_key'!A:C,3,false)</f>
        <v>1</v>
      </c>
      <c r="K243" s="2" t="s">
        <v>200</v>
      </c>
    </row>
    <row r="244">
      <c r="A244" s="2">
        <v>56.0</v>
      </c>
      <c r="B244" s="6" t="s">
        <v>418</v>
      </c>
      <c r="C244" s="2" t="s">
        <v>78</v>
      </c>
      <c r="D244" s="2">
        <v>7.0</v>
      </c>
      <c r="E244" s="4" t="str">
        <f>if(left(F244,1)="G","gallo","tross")</f>
        <v>tross</v>
      </c>
      <c r="F244" s="5" t="s">
        <v>419</v>
      </c>
      <c r="G244" s="2" t="s">
        <v>14</v>
      </c>
      <c r="H244" s="2" t="s">
        <v>235</v>
      </c>
      <c r="I244" s="5" t="s">
        <v>236</v>
      </c>
      <c r="J244" s="4">
        <f>vlookup(F244,'mussel-ID_key'!A:C,3,false)</f>
        <v>1</v>
      </c>
      <c r="K244" s="2" t="s">
        <v>200</v>
      </c>
    </row>
    <row r="245">
      <c r="A245" s="2">
        <v>68.0</v>
      </c>
      <c r="B245" s="5" t="s">
        <v>420</v>
      </c>
      <c r="C245" s="5" t="s">
        <v>83</v>
      </c>
      <c r="D245" s="2">
        <v>5.0</v>
      </c>
      <c r="E245" s="4" t="s">
        <v>238</v>
      </c>
      <c r="F245" s="5" t="s">
        <v>419</v>
      </c>
      <c r="G245" s="2" t="s">
        <v>18</v>
      </c>
      <c r="H245" s="2" t="s">
        <v>235</v>
      </c>
      <c r="I245" s="5" t="s">
        <v>239</v>
      </c>
      <c r="J245" s="4">
        <f>vlookup(F245,'mussel-ID_key'!A:C,3,false)</f>
        <v>1</v>
      </c>
      <c r="K245" s="2" t="s">
        <v>200</v>
      </c>
    </row>
    <row r="246">
      <c r="A246" s="2">
        <v>57.0</v>
      </c>
      <c r="B246" s="6" t="s">
        <v>421</v>
      </c>
      <c r="C246" s="2" t="s">
        <v>78</v>
      </c>
      <c r="D246" s="2">
        <v>7.0</v>
      </c>
      <c r="E246" s="4" t="str">
        <f>if(left(F246,1)="G","gallo","tross")</f>
        <v>tross</v>
      </c>
      <c r="F246" s="5" t="s">
        <v>422</v>
      </c>
      <c r="G246" s="2" t="s">
        <v>14</v>
      </c>
      <c r="H246" s="2" t="s">
        <v>235</v>
      </c>
      <c r="I246" s="5" t="s">
        <v>236</v>
      </c>
      <c r="J246" s="4">
        <f>vlookup(F246,'mussel-ID_key'!A:C,3,false)</f>
        <v>1</v>
      </c>
      <c r="K246" s="2" t="s">
        <v>200</v>
      </c>
    </row>
    <row r="247">
      <c r="A247" s="2">
        <v>69.0</v>
      </c>
      <c r="B247" s="5" t="s">
        <v>423</v>
      </c>
      <c r="C247" s="5" t="s">
        <v>83</v>
      </c>
      <c r="D247" s="2">
        <v>5.0</v>
      </c>
      <c r="E247" s="4" t="s">
        <v>238</v>
      </c>
      <c r="F247" s="5" t="s">
        <v>422</v>
      </c>
      <c r="G247" s="2" t="s">
        <v>18</v>
      </c>
      <c r="H247" s="2" t="s">
        <v>235</v>
      </c>
      <c r="I247" s="5" t="s">
        <v>239</v>
      </c>
      <c r="J247" s="4">
        <f>vlookup(F247,'mussel-ID_key'!A:C,3,false)</f>
        <v>1</v>
      </c>
      <c r="K247" s="2" t="s">
        <v>200</v>
      </c>
    </row>
    <row r="248">
      <c r="A248" s="2">
        <v>58.0</v>
      </c>
      <c r="B248" s="6" t="s">
        <v>424</v>
      </c>
      <c r="C248" s="2" t="s">
        <v>55</v>
      </c>
      <c r="D248" s="2">
        <v>4.0</v>
      </c>
      <c r="E248" s="4" t="str">
        <f>if(left(F248,1)="G","gallo","tross")</f>
        <v>tross</v>
      </c>
      <c r="F248" s="5" t="s">
        <v>425</v>
      </c>
      <c r="G248" s="2" t="s">
        <v>14</v>
      </c>
      <c r="H248" s="2" t="s">
        <v>235</v>
      </c>
      <c r="I248" s="5" t="s">
        <v>236</v>
      </c>
      <c r="J248" s="4">
        <f>vlookup(F248,'mussel-ID_key'!A:C,3,false)</f>
        <v>1</v>
      </c>
      <c r="K248" s="2" t="s">
        <v>200</v>
      </c>
    </row>
    <row r="249">
      <c r="A249" s="2">
        <v>70.0</v>
      </c>
      <c r="B249" s="5" t="s">
        <v>426</v>
      </c>
      <c r="C249" s="5" t="s">
        <v>60</v>
      </c>
      <c r="D249" s="2">
        <v>3.0</v>
      </c>
      <c r="E249" s="4" t="s">
        <v>238</v>
      </c>
      <c r="F249" s="5" t="s">
        <v>425</v>
      </c>
      <c r="G249" s="2" t="s">
        <v>18</v>
      </c>
      <c r="H249" s="2" t="s">
        <v>235</v>
      </c>
      <c r="I249" s="5" t="s">
        <v>239</v>
      </c>
      <c r="J249" s="4">
        <f>vlookup(F249,'mussel-ID_key'!A:C,3,false)</f>
        <v>1</v>
      </c>
      <c r="K249" s="2" t="s">
        <v>200</v>
      </c>
    </row>
    <row r="250">
      <c r="A250" s="2">
        <v>59.0</v>
      </c>
      <c r="B250" s="6" t="s">
        <v>427</v>
      </c>
      <c r="C250" s="2" t="s">
        <v>55</v>
      </c>
      <c r="D250" s="2">
        <v>4.0</v>
      </c>
      <c r="E250" s="4" t="str">
        <f>if(left(F250,1)="G","gallo","tross")</f>
        <v>tross</v>
      </c>
      <c r="F250" s="5" t="s">
        <v>428</v>
      </c>
      <c r="G250" s="2" t="s">
        <v>14</v>
      </c>
      <c r="H250" s="2" t="s">
        <v>235</v>
      </c>
      <c r="I250" s="5" t="s">
        <v>236</v>
      </c>
      <c r="J250" s="4">
        <f>vlookup(F250,'mussel-ID_key'!A:C,3,false)</f>
        <v>1</v>
      </c>
      <c r="K250" s="2" t="s">
        <v>200</v>
      </c>
    </row>
    <row r="251">
      <c r="A251" s="2">
        <v>71.0</v>
      </c>
      <c r="B251" s="5" t="s">
        <v>429</v>
      </c>
      <c r="C251" s="5" t="s">
        <v>60</v>
      </c>
      <c r="D251" s="2">
        <v>3.0</v>
      </c>
      <c r="E251" s="4" t="s">
        <v>238</v>
      </c>
      <c r="F251" s="5" t="s">
        <v>428</v>
      </c>
      <c r="G251" s="2" t="s">
        <v>18</v>
      </c>
      <c r="H251" s="2" t="s">
        <v>235</v>
      </c>
      <c r="I251" s="5" t="s">
        <v>239</v>
      </c>
      <c r="J251" s="4">
        <f>vlookup(F251,'mussel-ID_key'!A:C,3,false)</f>
        <v>1</v>
      </c>
      <c r="K251" s="2" t="s">
        <v>200</v>
      </c>
    </row>
    <row r="252">
      <c r="A252" s="2">
        <v>60.0</v>
      </c>
      <c r="B252" s="6" t="s">
        <v>430</v>
      </c>
      <c r="C252" s="2" t="s">
        <v>78</v>
      </c>
      <c r="D252" s="2">
        <v>7.0</v>
      </c>
      <c r="E252" s="4" t="str">
        <f>if(left(F252,1)="G","gallo","tross")</f>
        <v>tross</v>
      </c>
      <c r="F252" s="5" t="s">
        <v>431</v>
      </c>
      <c r="G252" s="2" t="s">
        <v>14</v>
      </c>
      <c r="H252" s="2" t="s">
        <v>235</v>
      </c>
      <c r="I252" s="5" t="s">
        <v>236</v>
      </c>
      <c r="J252" s="4">
        <f>vlookup(F252,'mussel-ID_key'!A:C,3,false)</f>
        <v>1</v>
      </c>
      <c r="K252" s="2" t="s">
        <v>200</v>
      </c>
    </row>
    <row r="253">
      <c r="A253" s="2">
        <v>72.0</v>
      </c>
      <c r="B253" s="5" t="s">
        <v>432</v>
      </c>
      <c r="C253" s="5" t="s">
        <v>83</v>
      </c>
      <c r="D253" s="2">
        <v>5.0</v>
      </c>
      <c r="E253" s="4" t="s">
        <v>238</v>
      </c>
      <c r="F253" s="5" t="s">
        <v>431</v>
      </c>
      <c r="G253" s="2" t="s">
        <v>18</v>
      </c>
      <c r="H253" s="2" t="s">
        <v>235</v>
      </c>
      <c r="I253" s="5" t="s">
        <v>239</v>
      </c>
      <c r="J253" s="4">
        <f>vlookup(F253,'mussel-ID_key'!A:C,3,false)</f>
        <v>1</v>
      </c>
      <c r="K253" s="2" t="s">
        <v>200</v>
      </c>
    </row>
    <row r="254" hidden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idden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idden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idden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idden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idden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idden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idden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idden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idden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idden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idden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idden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idden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idden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idden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idden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idden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idden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idden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idden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idden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idden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idden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idden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idden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idden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idden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idden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idden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idden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idden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idden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idden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idden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idden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idden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idden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idden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idden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idden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idden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idden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idden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idden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idden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idden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idden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idden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idden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idden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idden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idden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idden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idden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idden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idden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idden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idden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idden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idden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idden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idden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idden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idden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idden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idden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idden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idden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idden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idden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idden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idden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idden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idden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idden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idden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idden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idden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idden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idden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idden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idden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idden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idden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idden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idden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idden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idden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idden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idden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idden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idden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idden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idden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idden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idden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idden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idden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idden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idden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idden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idden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idden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idden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idden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idden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idden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idden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idden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idden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idden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idden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idden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idden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idden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idden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idden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idden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idden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idden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idden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idden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idden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idden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idden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idden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idden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idden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idden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idden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idden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idden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idden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idden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idden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idden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idden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idden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idden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idden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idden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idden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idden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idden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idden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idden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idden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idden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idden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idden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idden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idden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idden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idden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idden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idden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idden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idden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idden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idden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idden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idden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idden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idden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idden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idden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idden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idden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idden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idden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idden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idden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idden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idden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idden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idden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idden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idden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idden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idden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idden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idden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idden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idden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idden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idden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idden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idden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idden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idden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idden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idden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idden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idden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idden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idden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idden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idden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idden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idden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idden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idden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idden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idden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idden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idden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idden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idden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idden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idden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idden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idden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idden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idden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idden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idden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idden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idden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idden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idden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idden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idden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idden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idden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idden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idden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idden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idden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idden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idden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idden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idden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idden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idden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idden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idden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idden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idden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idden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idden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idden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idden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idden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idden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idden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idden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idden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idden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idden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idden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idden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idden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idden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idden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idden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idden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idden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idden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idden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idden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idden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idden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idden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idden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idden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idden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idden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idden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idden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idden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idden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idden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idden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idden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idden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idden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idden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idden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idden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idden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idden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idden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idden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idden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idden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idden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idden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idden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idden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idden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idden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idden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idden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idden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idden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idden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idden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idden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idden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idden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idden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idden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idden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idden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idden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idden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idden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idden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idden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idden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idden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idden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idden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idden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idden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idden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idden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idden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idden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idden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idden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idden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idden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idden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idden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idden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idden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idden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idden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idden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idden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idden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idden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idden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idden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idden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idden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idden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idden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idden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idden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idden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idden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idden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idden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idden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idden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idden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idden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idden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idden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idden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idden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idden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idden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idden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idden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idden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idden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idden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idden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idden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idden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idden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idden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idden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idden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idden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idden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idden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idden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idden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idden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idden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idden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idden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idden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idden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idden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idden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idden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idden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idden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idden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idden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idden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idden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idden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idden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idden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idden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idden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idden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idden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idden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idden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idden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idden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idden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idden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idden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idden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idden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idden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idden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idden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idden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idden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idden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idden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idden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idden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idden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idden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idden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idden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idden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idden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idden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idden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idden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idden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idden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idden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idden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idden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idden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idden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idden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idden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idden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idden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idden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idden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idden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idden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idden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idden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idden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idden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idden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idden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idden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idden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idden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idden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idden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idden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idden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idden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idden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idden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idden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idden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idden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idden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idden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idden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idden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idden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idden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idden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idden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idden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idden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idden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idden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idden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idden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idden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idden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idden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idden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idden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idden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idden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idden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idden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idden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idden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idden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idden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idden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idden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idden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idden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idden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idden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idden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idden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idden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idden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idden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idden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idden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idden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idden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idden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idden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idden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idden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idden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idden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idden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idden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idden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idden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idden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idden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idden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idden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idden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idden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idden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idden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idden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idden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idden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idden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idden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idden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idden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idden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idden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idden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idden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idden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idden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idden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idden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idden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idden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idden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idden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idden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idden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idden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idden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idden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idden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idden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idden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idden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idden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idden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idden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idden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idden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idden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idden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idden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idden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idden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idden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idden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idden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idden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idden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idden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idden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idden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idden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idden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idden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idden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idden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idden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idden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idden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idden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idden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idden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idden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idden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idden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idden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idden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idden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idden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idden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idden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idden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idden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idden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idden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idden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idden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idden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idden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idden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idden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idden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idden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idden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idden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idden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idden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idden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idden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idden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idden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idden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idden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idden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idden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idden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idden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idden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idden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idden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idden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idden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idden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idden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idden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idden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idden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idden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idden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idden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idden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idden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idden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idden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idden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idden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idden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idden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idden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idden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idden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idden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idden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idden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idden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idden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idden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idden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idden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idden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idden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idden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idden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idden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idden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idden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idden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idden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idden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idden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idden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idden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idden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idden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idden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idden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idden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idden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idden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idden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idden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idden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idden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idden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idden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idden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idden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idden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idden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idden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idden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idden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idden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idden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idden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idden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idden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idden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idden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idden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</sheetData>
  <autoFilter ref="$A$1:$K$992">
    <filterColumn colId="10">
      <filters>
        <filter val="High"/>
      </filters>
    </filterColumn>
    <sortState ref="A1:K992">
      <sortCondition ref="B1:B992"/>
      <sortCondition ref="F1:F992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1.13"/>
    <col customWidth="1" min="3" max="4" width="8.88"/>
    <col customWidth="1" min="5" max="5" width="6.88"/>
    <col customWidth="1" min="6" max="6" width="6.0"/>
    <col customWidth="1" min="7" max="7" width="21.0"/>
    <col customWidth="1" min="8" max="8" width="22.38"/>
    <col customWidth="1" min="9" max="9" width="9.88"/>
    <col customWidth="1" min="10" max="10" width="12.88"/>
    <col customWidth="1" min="11" max="12" width="20.6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6</v>
      </c>
      <c r="G1" s="2" t="s">
        <v>7</v>
      </c>
      <c r="H1" s="7" t="s">
        <v>433</v>
      </c>
      <c r="I1" s="2" t="s">
        <v>9</v>
      </c>
      <c r="J1" s="2" t="s">
        <v>2</v>
      </c>
      <c r="K1" s="7"/>
      <c r="L1" s="2" t="s">
        <v>434</v>
      </c>
      <c r="M1" s="2" t="s">
        <v>435</v>
      </c>
    </row>
    <row r="2">
      <c r="A2" s="3" t="s">
        <v>12</v>
      </c>
      <c r="B2" s="2">
        <v>1.0</v>
      </c>
      <c r="C2" s="4" t="str">
        <f t="shared" ref="C2:C498" si="1">if(left(D2,1)="G","gallo","tross")</f>
        <v>gallo</v>
      </c>
      <c r="D2" s="4" t="s">
        <v>13</v>
      </c>
      <c r="E2" s="4" t="s">
        <v>11</v>
      </c>
      <c r="F2" s="2" t="s">
        <v>14</v>
      </c>
      <c r="G2" s="2" t="str">
        <f>vlookup(D2,'mussel-ID_key'!A:B,2,false)</f>
        <v>gallo-control-0</v>
      </c>
      <c r="H2" s="8" t="str">
        <f t="shared" ref="H2:H498" si="2">G2&amp;"-"&amp;F2</f>
        <v>gallo-control-0-foot</v>
      </c>
      <c r="I2" s="4">
        <f>vlookup(D2,'mussel-ID_key'!A:C,3,false)</f>
        <v>0</v>
      </c>
      <c r="J2" s="3" t="s">
        <v>12</v>
      </c>
      <c r="K2" s="9"/>
      <c r="L2" s="10" t="s">
        <v>16</v>
      </c>
      <c r="M2" s="11">
        <f t="shared" ref="M2:M6" si="3">countif(H:H,L2)</f>
        <v>10</v>
      </c>
    </row>
    <row r="3">
      <c r="A3" s="3" t="s">
        <v>12</v>
      </c>
      <c r="B3" s="2">
        <v>1.0</v>
      </c>
      <c r="C3" s="4" t="str">
        <f t="shared" si="1"/>
        <v>gallo</v>
      </c>
      <c r="D3" s="4" t="s">
        <v>21</v>
      </c>
      <c r="E3" s="4" t="s">
        <v>20</v>
      </c>
      <c r="F3" s="2" t="s">
        <v>14</v>
      </c>
      <c r="G3" s="2" t="str">
        <f>vlookup(D3,'mussel-ID_key'!A:B,2,false)</f>
        <v>gallo-control-0</v>
      </c>
      <c r="H3" s="8" t="str">
        <f t="shared" si="2"/>
        <v>gallo-control-0-foot</v>
      </c>
      <c r="I3" s="4">
        <f>vlookup(D3,'mussel-ID_key'!A:C,3,false)</f>
        <v>0</v>
      </c>
      <c r="J3" s="3" t="s">
        <v>12</v>
      </c>
      <c r="K3" s="9"/>
      <c r="L3" s="10" t="s">
        <v>160</v>
      </c>
      <c r="M3" s="11">
        <f t="shared" si="3"/>
        <v>12</v>
      </c>
    </row>
    <row r="4">
      <c r="A4" s="2" t="s">
        <v>12</v>
      </c>
      <c r="B4" s="2">
        <v>1.0</v>
      </c>
      <c r="C4" s="4" t="str">
        <f t="shared" si="1"/>
        <v>gallo</v>
      </c>
      <c r="D4" s="4" t="s">
        <v>28</v>
      </c>
      <c r="E4" s="4" t="s">
        <v>27</v>
      </c>
      <c r="F4" s="2" t="s">
        <v>14</v>
      </c>
      <c r="G4" s="2" t="str">
        <f>vlookup(D4,'mussel-ID_key'!A:B,2,false)</f>
        <v>gallo-control-0</v>
      </c>
      <c r="H4" s="8" t="str">
        <f t="shared" si="2"/>
        <v>gallo-control-0-foot</v>
      </c>
      <c r="I4" s="4">
        <f>vlookup(D4,'mussel-ID_key'!A:C,3,false)</f>
        <v>0</v>
      </c>
      <c r="J4" s="2" t="s">
        <v>12</v>
      </c>
      <c r="K4" s="9"/>
      <c r="L4" s="10" t="s">
        <v>94</v>
      </c>
      <c r="M4" s="11">
        <f t="shared" si="3"/>
        <v>13</v>
      </c>
    </row>
    <row r="5">
      <c r="A5" s="2" t="s">
        <v>12</v>
      </c>
      <c r="B5" s="2">
        <v>1.0</v>
      </c>
      <c r="C5" s="4" t="str">
        <f t="shared" si="1"/>
        <v>gallo</v>
      </c>
      <c r="D5" s="4" t="s">
        <v>31</v>
      </c>
      <c r="E5" s="4" t="s">
        <v>30</v>
      </c>
      <c r="F5" s="2" t="s">
        <v>14</v>
      </c>
      <c r="G5" s="2" t="str">
        <f>vlookup(D5,'mussel-ID_key'!A:B,2,false)</f>
        <v>gallo-control-0</v>
      </c>
      <c r="H5" s="8" t="str">
        <f t="shared" si="2"/>
        <v>gallo-control-0-foot</v>
      </c>
      <c r="I5" s="4">
        <f>vlookup(D5,'mussel-ID_key'!A:C,3,false)</f>
        <v>0</v>
      </c>
      <c r="J5" s="2" t="s">
        <v>12</v>
      </c>
      <c r="K5" s="9"/>
      <c r="L5" s="10" t="s">
        <v>58</v>
      </c>
      <c r="M5" s="11">
        <f t="shared" si="3"/>
        <v>9</v>
      </c>
    </row>
    <row r="6">
      <c r="A6" s="2" t="s">
        <v>12</v>
      </c>
      <c r="B6" s="2">
        <v>1.0</v>
      </c>
      <c r="C6" s="4" t="str">
        <f t="shared" si="1"/>
        <v>gallo</v>
      </c>
      <c r="D6" s="4" t="s">
        <v>34</v>
      </c>
      <c r="E6" s="4" t="s">
        <v>33</v>
      </c>
      <c r="F6" s="2" t="s">
        <v>14</v>
      </c>
      <c r="G6" s="2" t="str">
        <f>vlookup(D6,'mussel-ID_key'!A:B,2,false)</f>
        <v>gallo-control-0</v>
      </c>
      <c r="H6" s="8" t="str">
        <f t="shared" si="2"/>
        <v>gallo-control-0-foot</v>
      </c>
      <c r="I6" s="4">
        <f>vlookup(D6,'mussel-ID_key'!A:C,3,false)</f>
        <v>0</v>
      </c>
      <c r="J6" s="2" t="s">
        <v>12</v>
      </c>
      <c r="K6" s="9"/>
      <c r="L6" s="10" t="s">
        <v>81</v>
      </c>
      <c r="M6" s="11">
        <f t="shared" si="3"/>
        <v>9</v>
      </c>
    </row>
    <row r="7">
      <c r="A7" s="2" t="s">
        <v>12</v>
      </c>
      <c r="B7" s="2">
        <v>1.0</v>
      </c>
      <c r="C7" s="4" t="str">
        <f t="shared" si="1"/>
        <v>gallo</v>
      </c>
      <c r="D7" s="4" t="s">
        <v>37</v>
      </c>
      <c r="E7" s="4" t="s">
        <v>36</v>
      </c>
      <c r="F7" s="2" t="s">
        <v>14</v>
      </c>
      <c r="G7" s="2" t="str">
        <f>vlookup(D7,'mussel-ID_key'!A:B,2,false)</f>
        <v>gallo-control-0</v>
      </c>
      <c r="H7" s="8" t="str">
        <f t="shared" si="2"/>
        <v>gallo-control-0-foot</v>
      </c>
      <c r="I7" s="4">
        <f>vlookup(D7,'mussel-ID_key'!A:C,3,false)</f>
        <v>0</v>
      </c>
      <c r="J7" s="2" t="s">
        <v>12</v>
      </c>
      <c r="K7" s="12"/>
      <c r="L7" s="11"/>
      <c r="M7" s="11"/>
    </row>
    <row r="8">
      <c r="A8" s="2" t="s">
        <v>12</v>
      </c>
      <c r="B8" s="2">
        <v>1.0</v>
      </c>
      <c r="C8" s="4" t="str">
        <f t="shared" si="1"/>
        <v>gallo</v>
      </c>
      <c r="D8" s="4" t="s">
        <v>43</v>
      </c>
      <c r="E8" s="4" t="s">
        <v>42</v>
      </c>
      <c r="F8" s="2" t="s">
        <v>14</v>
      </c>
      <c r="G8" s="2" t="str">
        <f>vlookup(D8,'mussel-ID_key'!A:B,2,false)</f>
        <v>gallo-control-0</v>
      </c>
      <c r="H8" s="8" t="str">
        <f t="shared" si="2"/>
        <v>gallo-control-0-foot</v>
      </c>
      <c r="I8" s="4">
        <f>vlookup(D8,'mussel-ID_key'!A:C,3,false)</f>
        <v>0</v>
      </c>
      <c r="J8" s="2" t="s">
        <v>12</v>
      </c>
      <c r="K8" s="9"/>
      <c r="L8" s="10" t="s">
        <v>199</v>
      </c>
      <c r="M8" s="11">
        <f t="shared" ref="M8:M12" si="4">countif(H:H,L8)</f>
        <v>16</v>
      </c>
    </row>
    <row r="9">
      <c r="A9" s="2" t="s">
        <v>12</v>
      </c>
      <c r="B9" s="2">
        <v>1.0</v>
      </c>
      <c r="C9" s="4" t="str">
        <f t="shared" si="1"/>
        <v>gallo</v>
      </c>
      <c r="D9" s="4" t="s">
        <v>46</v>
      </c>
      <c r="E9" s="4" t="s">
        <v>45</v>
      </c>
      <c r="F9" s="2" t="s">
        <v>14</v>
      </c>
      <c r="G9" s="2" t="str">
        <f>vlookup(D9,'mussel-ID_key'!A:B,2,false)</f>
        <v>gallo-control-0</v>
      </c>
      <c r="H9" s="8" t="str">
        <f t="shared" si="2"/>
        <v>gallo-control-0-foot</v>
      </c>
      <c r="I9" s="4">
        <f>vlookup(D9,'mussel-ID_key'!A:C,3,false)</f>
        <v>0</v>
      </c>
      <c r="J9" s="2" t="s">
        <v>12</v>
      </c>
      <c r="K9" s="9"/>
      <c r="L9" s="10" t="s">
        <v>436</v>
      </c>
      <c r="M9" s="11">
        <f t="shared" si="4"/>
        <v>12</v>
      </c>
    </row>
    <row r="10">
      <c r="A10" s="2" t="s">
        <v>12</v>
      </c>
      <c r="B10" s="2">
        <v>1.0</v>
      </c>
      <c r="C10" s="4" t="str">
        <f t="shared" si="1"/>
        <v>gallo</v>
      </c>
      <c r="D10" s="4" t="s">
        <v>49</v>
      </c>
      <c r="E10" s="4" t="s">
        <v>48</v>
      </c>
      <c r="F10" s="2" t="s">
        <v>14</v>
      </c>
      <c r="G10" s="2" t="str">
        <f>vlookup(D10,'mussel-ID_key'!A:B,2,false)</f>
        <v>gallo-control-0</v>
      </c>
      <c r="H10" s="8" t="str">
        <f t="shared" si="2"/>
        <v>gallo-control-0-foot</v>
      </c>
      <c r="I10" s="4">
        <f>vlookup(D10,'mussel-ID_key'!A:C,3,false)</f>
        <v>0</v>
      </c>
      <c r="J10" s="2" t="s">
        <v>12</v>
      </c>
      <c r="K10" s="9"/>
      <c r="L10" s="10" t="s">
        <v>236</v>
      </c>
      <c r="M10" s="11">
        <f t="shared" si="4"/>
        <v>18</v>
      </c>
    </row>
    <row r="11">
      <c r="A11" s="2" t="s">
        <v>12</v>
      </c>
      <c r="B11" s="2">
        <v>1.0</v>
      </c>
      <c r="C11" s="4" t="str">
        <f t="shared" si="1"/>
        <v>gallo</v>
      </c>
      <c r="D11" s="4" t="s">
        <v>52</v>
      </c>
      <c r="E11" s="4" t="s">
        <v>51</v>
      </c>
      <c r="F11" s="2" t="s">
        <v>14</v>
      </c>
      <c r="G11" s="2" t="str">
        <f>vlookup(D11,'mussel-ID_key'!A:B,2,false)</f>
        <v>gallo-control-0</v>
      </c>
      <c r="H11" s="8" t="str">
        <f t="shared" si="2"/>
        <v>gallo-control-0-foot</v>
      </c>
      <c r="I11" s="4">
        <f>vlookup(D11,'mussel-ID_key'!A:C,3,false)</f>
        <v>0</v>
      </c>
      <c r="J11" s="2" t="s">
        <v>12</v>
      </c>
      <c r="K11" s="9"/>
      <c r="L11" s="10" t="s">
        <v>249</v>
      </c>
      <c r="M11" s="11">
        <f t="shared" si="4"/>
        <v>13</v>
      </c>
    </row>
    <row r="12">
      <c r="A12" s="2" t="s">
        <v>12</v>
      </c>
      <c r="B12" s="2">
        <v>1.0</v>
      </c>
      <c r="C12" s="4" t="str">
        <f t="shared" si="1"/>
        <v>gallo</v>
      </c>
      <c r="D12" s="4" t="s">
        <v>13</v>
      </c>
      <c r="E12" s="4" t="s">
        <v>17</v>
      </c>
      <c r="F12" s="2" t="s">
        <v>18</v>
      </c>
      <c r="G12" s="2" t="str">
        <f>vlookup(D12,'mussel-ID_key'!A:B,2,false)</f>
        <v>gallo-control-0</v>
      </c>
      <c r="H12" s="8" t="str">
        <f t="shared" si="2"/>
        <v>gallo-control-0-gill</v>
      </c>
      <c r="I12" s="4">
        <f>vlookup(D12,'mussel-ID_key'!A:C,3,false)</f>
        <v>0</v>
      </c>
      <c r="J12" s="2" t="s">
        <v>12</v>
      </c>
      <c r="K12" s="9"/>
      <c r="L12" s="10" t="s">
        <v>370</v>
      </c>
      <c r="M12" s="11">
        <f t="shared" si="4"/>
        <v>18</v>
      </c>
    </row>
    <row r="13">
      <c r="A13" s="2" t="s">
        <v>12</v>
      </c>
      <c r="B13" s="2">
        <v>1.0</v>
      </c>
      <c r="C13" s="4" t="str">
        <f t="shared" si="1"/>
        <v>gallo</v>
      </c>
      <c r="D13" s="4" t="s">
        <v>21</v>
      </c>
      <c r="E13" s="4" t="s">
        <v>22</v>
      </c>
      <c r="F13" s="2" t="s">
        <v>18</v>
      </c>
      <c r="G13" s="2" t="str">
        <f>vlookup(D13,'mussel-ID_key'!A:B,2,false)</f>
        <v>gallo-control-0</v>
      </c>
      <c r="H13" s="8" t="str">
        <f t="shared" si="2"/>
        <v>gallo-control-0-gill</v>
      </c>
      <c r="I13" s="4">
        <f>vlookup(D13,'mussel-ID_key'!A:C,3,false)</f>
        <v>0</v>
      </c>
      <c r="J13" s="2" t="s">
        <v>12</v>
      </c>
      <c r="K13" s="12"/>
      <c r="L13" s="11"/>
      <c r="M13" s="11"/>
    </row>
    <row r="14">
      <c r="A14" s="2" t="s">
        <v>12</v>
      </c>
      <c r="B14" s="2">
        <v>1.0</v>
      </c>
      <c r="C14" s="4" t="str">
        <f t="shared" si="1"/>
        <v>gallo</v>
      </c>
      <c r="D14" s="4" t="s">
        <v>25</v>
      </c>
      <c r="E14" s="4" t="s">
        <v>26</v>
      </c>
      <c r="F14" s="2" t="s">
        <v>18</v>
      </c>
      <c r="G14" s="2" t="str">
        <f>vlookup(D14,'mussel-ID_key'!A:B,2,false)</f>
        <v>gallo-control-0</v>
      </c>
      <c r="H14" s="8" t="str">
        <f t="shared" si="2"/>
        <v>gallo-control-0-gill</v>
      </c>
      <c r="I14" s="4">
        <f>vlookup(D14,'mussel-ID_key'!A:C,3,false)</f>
        <v>0</v>
      </c>
      <c r="J14" s="2" t="s">
        <v>12</v>
      </c>
      <c r="K14" s="9"/>
      <c r="L14" s="10" t="s">
        <v>301</v>
      </c>
      <c r="M14" s="11">
        <f>countif(H:H,L14)</f>
        <v>12</v>
      </c>
    </row>
    <row r="15">
      <c r="A15" s="2" t="s">
        <v>12</v>
      </c>
      <c r="B15" s="2">
        <v>1.0</v>
      </c>
      <c r="C15" s="4" t="str">
        <f t="shared" si="1"/>
        <v>gallo</v>
      </c>
      <c r="D15" s="4" t="s">
        <v>28</v>
      </c>
      <c r="E15" s="4" t="s">
        <v>29</v>
      </c>
      <c r="F15" s="2" t="s">
        <v>18</v>
      </c>
      <c r="G15" s="2" t="str">
        <f>vlookup(D15,'mussel-ID_key'!A:B,2,false)</f>
        <v>gallo-control-0</v>
      </c>
      <c r="H15" s="8" t="str">
        <f t="shared" si="2"/>
        <v>gallo-control-0-gill</v>
      </c>
      <c r="I15" s="4">
        <f>vlookup(D15,'mussel-ID_key'!A:C,3,false)</f>
        <v>0</v>
      </c>
      <c r="J15" s="2" t="s">
        <v>12</v>
      </c>
      <c r="K15" s="12"/>
      <c r="L15" s="11"/>
      <c r="M15" s="11"/>
    </row>
    <row r="16">
      <c r="A16" s="2" t="s">
        <v>12</v>
      </c>
      <c r="B16" s="2">
        <v>1.0</v>
      </c>
      <c r="C16" s="4" t="str">
        <f t="shared" si="1"/>
        <v>gallo</v>
      </c>
      <c r="D16" s="4" t="s">
        <v>31</v>
      </c>
      <c r="E16" s="4" t="s">
        <v>32</v>
      </c>
      <c r="F16" s="2" t="s">
        <v>18</v>
      </c>
      <c r="G16" s="2" t="str">
        <f>vlookup(D16,'mussel-ID_key'!A:B,2,false)</f>
        <v>gallo-control-0</v>
      </c>
      <c r="H16" s="8" t="str">
        <f t="shared" si="2"/>
        <v>gallo-control-0-gill</v>
      </c>
      <c r="I16" s="4">
        <f>vlookup(D16,'mussel-ID_key'!A:C,3,false)</f>
        <v>0</v>
      </c>
      <c r="J16" s="2" t="s">
        <v>12</v>
      </c>
      <c r="K16" s="12"/>
      <c r="L16" s="11"/>
      <c r="M16" s="11"/>
    </row>
    <row r="17">
      <c r="A17" s="2" t="s">
        <v>12</v>
      </c>
      <c r="B17" s="2">
        <v>1.0</v>
      </c>
      <c r="C17" s="4" t="str">
        <f t="shared" si="1"/>
        <v>gallo</v>
      </c>
      <c r="D17" s="4" t="s">
        <v>34</v>
      </c>
      <c r="E17" s="4" t="s">
        <v>35</v>
      </c>
      <c r="F17" s="2" t="s">
        <v>18</v>
      </c>
      <c r="G17" s="2" t="str">
        <f>vlookup(D17,'mussel-ID_key'!A:B,2,false)</f>
        <v>gallo-control-0</v>
      </c>
      <c r="H17" s="8" t="str">
        <f t="shared" si="2"/>
        <v>gallo-control-0-gill</v>
      </c>
      <c r="I17" s="4">
        <f>vlookup(D17,'mussel-ID_key'!A:C,3,false)</f>
        <v>0</v>
      </c>
      <c r="J17" s="2" t="s">
        <v>12</v>
      </c>
      <c r="K17" s="12"/>
      <c r="L17" s="11"/>
      <c r="M17" s="11"/>
    </row>
    <row r="18">
      <c r="A18" s="2" t="s">
        <v>12</v>
      </c>
      <c r="B18" s="2">
        <v>1.0</v>
      </c>
      <c r="C18" s="4" t="str">
        <f t="shared" si="1"/>
        <v>gallo</v>
      </c>
      <c r="D18" s="4" t="s">
        <v>37</v>
      </c>
      <c r="E18" s="4" t="s">
        <v>38</v>
      </c>
      <c r="F18" s="2" t="s">
        <v>18</v>
      </c>
      <c r="G18" s="2" t="str">
        <f>vlookup(D18,'mussel-ID_key'!A:B,2,false)</f>
        <v>gallo-control-0</v>
      </c>
      <c r="H18" s="8" t="str">
        <f t="shared" si="2"/>
        <v>gallo-control-0-gill</v>
      </c>
      <c r="I18" s="4">
        <f>vlookup(D18,'mussel-ID_key'!A:C,3,false)</f>
        <v>0</v>
      </c>
      <c r="J18" s="2" t="s">
        <v>12</v>
      </c>
      <c r="K18" s="12"/>
      <c r="L18" s="11"/>
      <c r="M18" s="11"/>
    </row>
    <row r="19">
      <c r="A19" s="2" t="s">
        <v>12</v>
      </c>
      <c r="B19" s="2">
        <v>1.0</v>
      </c>
      <c r="C19" s="4" t="str">
        <f t="shared" si="1"/>
        <v>gallo</v>
      </c>
      <c r="D19" s="4" t="s">
        <v>40</v>
      </c>
      <c r="E19" s="4" t="s">
        <v>41</v>
      </c>
      <c r="F19" s="2" t="s">
        <v>18</v>
      </c>
      <c r="G19" s="2" t="str">
        <f>vlookup(D19,'mussel-ID_key'!A:B,2,false)</f>
        <v>gallo-control-0</v>
      </c>
      <c r="H19" s="8" t="str">
        <f t="shared" si="2"/>
        <v>gallo-control-0-gill</v>
      </c>
      <c r="I19" s="4">
        <f>vlookup(D19,'mussel-ID_key'!A:C,3,false)</f>
        <v>0</v>
      </c>
      <c r="J19" s="2" t="s">
        <v>12</v>
      </c>
      <c r="K19" s="12"/>
      <c r="L19" s="11"/>
      <c r="M19" s="11"/>
    </row>
    <row r="20">
      <c r="A20" s="2" t="s">
        <v>12</v>
      </c>
      <c r="B20" s="2">
        <v>1.0</v>
      </c>
      <c r="C20" s="4" t="str">
        <f t="shared" si="1"/>
        <v>gallo</v>
      </c>
      <c r="D20" s="4" t="s">
        <v>43</v>
      </c>
      <c r="E20" s="4" t="s">
        <v>44</v>
      </c>
      <c r="F20" s="2" t="s">
        <v>18</v>
      </c>
      <c r="G20" s="2" t="str">
        <f>vlookup(D20,'mussel-ID_key'!A:B,2,false)</f>
        <v>gallo-control-0</v>
      </c>
      <c r="H20" s="8" t="str">
        <f t="shared" si="2"/>
        <v>gallo-control-0-gill</v>
      </c>
      <c r="I20" s="4">
        <f>vlookup(D20,'mussel-ID_key'!A:C,3,false)</f>
        <v>0</v>
      </c>
      <c r="J20" s="2" t="s">
        <v>12</v>
      </c>
      <c r="K20" s="12"/>
      <c r="L20" s="11"/>
      <c r="M20" s="11"/>
    </row>
    <row r="21">
      <c r="A21" s="2" t="s">
        <v>12</v>
      </c>
      <c r="B21" s="2">
        <v>1.0</v>
      </c>
      <c r="C21" s="4" t="str">
        <f t="shared" si="1"/>
        <v>gallo</v>
      </c>
      <c r="D21" s="4" t="s">
        <v>46</v>
      </c>
      <c r="E21" s="4" t="s">
        <v>47</v>
      </c>
      <c r="F21" s="2" t="s">
        <v>18</v>
      </c>
      <c r="G21" s="2" t="str">
        <f>vlookup(D21,'mussel-ID_key'!A:B,2,false)</f>
        <v>gallo-control-0</v>
      </c>
      <c r="H21" s="8" t="str">
        <f t="shared" si="2"/>
        <v>gallo-control-0-gill</v>
      </c>
      <c r="I21" s="4">
        <f>vlookup(D21,'mussel-ID_key'!A:C,3,false)</f>
        <v>0</v>
      </c>
      <c r="J21" s="2" t="s">
        <v>12</v>
      </c>
      <c r="K21" s="12"/>
      <c r="L21" s="11"/>
      <c r="M21" s="11"/>
    </row>
    <row r="22">
      <c r="A22" s="2" t="s">
        <v>12</v>
      </c>
      <c r="B22" s="2">
        <v>1.0</v>
      </c>
      <c r="C22" s="4" t="str">
        <f t="shared" si="1"/>
        <v>gallo</v>
      </c>
      <c r="D22" s="4" t="s">
        <v>49</v>
      </c>
      <c r="E22" s="4" t="s">
        <v>50</v>
      </c>
      <c r="F22" s="2" t="s">
        <v>18</v>
      </c>
      <c r="G22" s="2" t="str">
        <f>vlookup(D22,'mussel-ID_key'!A:B,2,false)</f>
        <v>gallo-control-0</v>
      </c>
      <c r="H22" s="8" t="str">
        <f t="shared" si="2"/>
        <v>gallo-control-0-gill</v>
      </c>
      <c r="I22" s="4">
        <f>vlookup(D22,'mussel-ID_key'!A:C,3,false)</f>
        <v>0</v>
      </c>
      <c r="J22" s="2" t="s">
        <v>12</v>
      </c>
      <c r="K22" s="12"/>
      <c r="L22" s="11"/>
      <c r="M22" s="11"/>
    </row>
    <row r="23">
      <c r="A23" s="2" t="s">
        <v>12</v>
      </c>
      <c r="B23" s="2">
        <v>1.0</v>
      </c>
      <c r="C23" s="4" t="str">
        <f t="shared" si="1"/>
        <v>gallo</v>
      </c>
      <c r="D23" s="4" t="s">
        <v>52</v>
      </c>
      <c r="E23" s="4" t="s">
        <v>53</v>
      </c>
      <c r="F23" s="2" t="s">
        <v>18</v>
      </c>
      <c r="G23" s="2" t="str">
        <f>vlookup(D23,'mussel-ID_key'!A:B,2,false)</f>
        <v>gallo-control-0</v>
      </c>
      <c r="H23" s="8" t="str">
        <f t="shared" si="2"/>
        <v>gallo-control-0-gill</v>
      </c>
      <c r="I23" s="4">
        <f>vlookup(D23,'mussel-ID_key'!A:C,3,false)</f>
        <v>0</v>
      </c>
      <c r="J23" s="2" t="s">
        <v>12</v>
      </c>
      <c r="L23" s="5"/>
      <c r="M23" s="5"/>
    </row>
    <row r="24">
      <c r="A24" s="2" t="s">
        <v>12</v>
      </c>
      <c r="B24" s="2">
        <v>1.0</v>
      </c>
      <c r="C24" s="4" t="str">
        <f t="shared" si="1"/>
        <v>gallo</v>
      </c>
      <c r="D24" s="4" t="s">
        <v>13</v>
      </c>
      <c r="E24" s="4" t="s">
        <v>437</v>
      </c>
      <c r="F24" s="2" t="s">
        <v>438</v>
      </c>
      <c r="G24" s="2" t="str">
        <f>vlookup(D24,'mussel-ID_key'!A:B,2,false)</f>
        <v>gallo-control-0</v>
      </c>
      <c r="H24" s="8" t="str">
        <f t="shared" si="2"/>
        <v>gallo-control-0-mantle</v>
      </c>
      <c r="I24" s="4">
        <f>vlookup(D24,'mussel-ID_key'!A:C,3,false)</f>
        <v>0</v>
      </c>
      <c r="J24" s="2" t="s">
        <v>12</v>
      </c>
      <c r="L24" s="5"/>
      <c r="M24" s="5"/>
    </row>
    <row r="25">
      <c r="A25" s="2" t="s">
        <v>12</v>
      </c>
      <c r="B25" s="2">
        <v>1.0</v>
      </c>
      <c r="C25" s="4" t="str">
        <f t="shared" si="1"/>
        <v>gallo</v>
      </c>
      <c r="D25" s="4" t="s">
        <v>21</v>
      </c>
      <c r="E25" s="4" t="s">
        <v>439</v>
      </c>
      <c r="F25" s="2" t="s">
        <v>438</v>
      </c>
      <c r="G25" s="2" t="str">
        <f>vlookup(D25,'mussel-ID_key'!A:B,2,false)</f>
        <v>gallo-control-0</v>
      </c>
      <c r="H25" s="8" t="str">
        <f t="shared" si="2"/>
        <v>gallo-control-0-mantle</v>
      </c>
      <c r="I25" s="4">
        <f>vlookup(D25,'mussel-ID_key'!A:C,3,false)</f>
        <v>0</v>
      </c>
      <c r="J25" s="2" t="s">
        <v>12</v>
      </c>
      <c r="L25" s="5"/>
      <c r="M25" s="5"/>
    </row>
    <row r="26">
      <c r="A26" s="2" t="s">
        <v>12</v>
      </c>
      <c r="B26" s="2">
        <v>1.0</v>
      </c>
      <c r="C26" s="4" t="str">
        <f t="shared" si="1"/>
        <v>gallo</v>
      </c>
      <c r="D26" s="4" t="s">
        <v>25</v>
      </c>
      <c r="E26" s="4" t="s">
        <v>440</v>
      </c>
      <c r="F26" s="2" t="s">
        <v>438</v>
      </c>
      <c r="G26" s="2" t="str">
        <f>vlookup(D26,'mussel-ID_key'!A:B,2,false)</f>
        <v>gallo-control-0</v>
      </c>
      <c r="H26" s="8" t="str">
        <f t="shared" si="2"/>
        <v>gallo-control-0-mantle</v>
      </c>
      <c r="I26" s="4">
        <f>vlookup(D26,'mussel-ID_key'!A:C,3,false)</f>
        <v>0</v>
      </c>
      <c r="J26" s="2" t="s">
        <v>12</v>
      </c>
      <c r="L26" s="5"/>
      <c r="M26" s="5"/>
    </row>
    <row r="27">
      <c r="A27" s="2" t="s">
        <v>12</v>
      </c>
      <c r="B27" s="2">
        <v>1.0</v>
      </c>
      <c r="C27" s="4" t="str">
        <f t="shared" si="1"/>
        <v>gallo</v>
      </c>
      <c r="D27" s="4" t="s">
        <v>28</v>
      </c>
      <c r="E27" s="4" t="s">
        <v>441</v>
      </c>
      <c r="F27" s="2" t="s">
        <v>438</v>
      </c>
      <c r="G27" s="2" t="str">
        <f>vlookup(D27,'mussel-ID_key'!A:B,2,false)</f>
        <v>gallo-control-0</v>
      </c>
      <c r="H27" s="8" t="str">
        <f t="shared" si="2"/>
        <v>gallo-control-0-mantle</v>
      </c>
      <c r="I27" s="4">
        <f>vlookup(D27,'mussel-ID_key'!A:C,3,false)</f>
        <v>0</v>
      </c>
      <c r="J27" s="2" t="s">
        <v>12</v>
      </c>
      <c r="L27" s="5"/>
      <c r="M27" s="5"/>
    </row>
    <row r="28">
      <c r="A28" s="2" t="s">
        <v>12</v>
      </c>
      <c r="B28" s="2">
        <v>1.0</v>
      </c>
      <c r="C28" s="4" t="str">
        <f t="shared" si="1"/>
        <v>gallo</v>
      </c>
      <c r="D28" s="4" t="s">
        <v>31</v>
      </c>
      <c r="E28" s="4" t="s">
        <v>442</v>
      </c>
      <c r="F28" s="2" t="s">
        <v>438</v>
      </c>
      <c r="G28" s="2" t="str">
        <f>vlookup(D28,'mussel-ID_key'!A:B,2,false)</f>
        <v>gallo-control-0</v>
      </c>
      <c r="H28" s="8" t="str">
        <f t="shared" si="2"/>
        <v>gallo-control-0-mantle</v>
      </c>
      <c r="I28" s="4">
        <f>vlookup(D28,'mussel-ID_key'!A:C,3,false)</f>
        <v>0</v>
      </c>
      <c r="J28" s="2" t="s">
        <v>12</v>
      </c>
      <c r="L28" s="5"/>
      <c r="M28" s="5"/>
    </row>
    <row r="29">
      <c r="A29" s="2" t="s">
        <v>12</v>
      </c>
      <c r="B29" s="2">
        <v>1.0</v>
      </c>
      <c r="C29" s="4" t="str">
        <f t="shared" si="1"/>
        <v>gallo</v>
      </c>
      <c r="D29" s="4" t="s">
        <v>34</v>
      </c>
      <c r="E29" s="4" t="s">
        <v>443</v>
      </c>
      <c r="F29" s="2" t="s">
        <v>438</v>
      </c>
      <c r="G29" s="2" t="str">
        <f>vlookup(D29,'mussel-ID_key'!A:B,2,false)</f>
        <v>gallo-control-0</v>
      </c>
      <c r="H29" s="8" t="str">
        <f t="shared" si="2"/>
        <v>gallo-control-0-mantle</v>
      </c>
      <c r="I29" s="4">
        <f>vlookup(D29,'mussel-ID_key'!A:C,3,false)</f>
        <v>0</v>
      </c>
      <c r="J29" s="2" t="s">
        <v>12</v>
      </c>
      <c r="L29" s="5"/>
      <c r="M29" s="5"/>
    </row>
    <row r="30">
      <c r="A30" s="2" t="s">
        <v>12</v>
      </c>
      <c r="B30" s="2">
        <v>1.0</v>
      </c>
      <c r="C30" s="4" t="str">
        <f t="shared" si="1"/>
        <v>gallo</v>
      </c>
      <c r="D30" s="4" t="s">
        <v>37</v>
      </c>
      <c r="E30" s="4" t="s">
        <v>444</v>
      </c>
      <c r="F30" s="2" t="s">
        <v>438</v>
      </c>
      <c r="G30" s="2" t="str">
        <f>vlookup(D30,'mussel-ID_key'!A:B,2,false)</f>
        <v>gallo-control-0</v>
      </c>
      <c r="H30" s="8" t="str">
        <f t="shared" si="2"/>
        <v>gallo-control-0-mantle</v>
      </c>
      <c r="I30" s="4">
        <f>vlookup(D30,'mussel-ID_key'!A:C,3,false)</f>
        <v>0</v>
      </c>
      <c r="J30" s="2" t="s">
        <v>12</v>
      </c>
      <c r="L30" s="5"/>
      <c r="M30" s="5"/>
    </row>
    <row r="31">
      <c r="A31" s="2" t="s">
        <v>12</v>
      </c>
      <c r="B31" s="2">
        <v>1.0</v>
      </c>
      <c r="C31" s="4" t="str">
        <f t="shared" si="1"/>
        <v>gallo</v>
      </c>
      <c r="D31" s="4" t="s">
        <v>40</v>
      </c>
      <c r="E31" s="4" t="s">
        <v>445</v>
      </c>
      <c r="F31" s="2" t="s">
        <v>438</v>
      </c>
      <c r="G31" s="2" t="str">
        <f>vlookup(D31,'mussel-ID_key'!A:B,2,false)</f>
        <v>gallo-control-0</v>
      </c>
      <c r="H31" s="8" t="str">
        <f t="shared" si="2"/>
        <v>gallo-control-0-mantle</v>
      </c>
      <c r="I31" s="4">
        <f>vlookup(D31,'mussel-ID_key'!A:C,3,false)</f>
        <v>0</v>
      </c>
      <c r="J31" s="2" t="s">
        <v>12</v>
      </c>
      <c r="L31" s="5"/>
      <c r="M31" s="5"/>
    </row>
    <row r="32">
      <c r="A32" s="2" t="s">
        <v>12</v>
      </c>
      <c r="B32" s="2">
        <v>1.0</v>
      </c>
      <c r="C32" s="4" t="str">
        <f t="shared" si="1"/>
        <v>gallo</v>
      </c>
      <c r="D32" s="4" t="s">
        <v>43</v>
      </c>
      <c r="E32" s="4" t="s">
        <v>446</v>
      </c>
      <c r="F32" s="2" t="s">
        <v>438</v>
      </c>
      <c r="G32" s="2" t="str">
        <f>vlookup(D32,'mussel-ID_key'!A:B,2,false)</f>
        <v>gallo-control-0</v>
      </c>
      <c r="H32" s="8" t="str">
        <f t="shared" si="2"/>
        <v>gallo-control-0-mantle</v>
      </c>
      <c r="I32" s="4">
        <f>vlookup(D32,'mussel-ID_key'!A:C,3,false)</f>
        <v>0</v>
      </c>
      <c r="J32" s="2" t="s">
        <v>12</v>
      </c>
      <c r="L32" s="5"/>
      <c r="M32" s="5"/>
    </row>
    <row r="33">
      <c r="A33" s="2" t="s">
        <v>12</v>
      </c>
      <c r="B33" s="2">
        <v>1.0</v>
      </c>
      <c r="C33" s="4" t="str">
        <f t="shared" si="1"/>
        <v>gallo</v>
      </c>
      <c r="D33" s="4" t="s">
        <v>46</v>
      </c>
      <c r="E33" s="4" t="s">
        <v>447</v>
      </c>
      <c r="F33" s="2" t="s">
        <v>438</v>
      </c>
      <c r="G33" s="2" t="str">
        <f>vlookup(D33,'mussel-ID_key'!A:B,2,false)</f>
        <v>gallo-control-0</v>
      </c>
      <c r="H33" s="8" t="str">
        <f t="shared" si="2"/>
        <v>gallo-control-0-mantle</v>
      </c>
      <c r="I33" s="4">
        <f>vlookup(D33,'mussel-ID_key'!A:C,3,false)</f>
        <v>0</v>
      </c>
      <c r="J33" s="2" t="s">
        <v>12</v>
      </c>
      <c r="L33" s="5"/>
      <c r="M33" s="5"/>
    </row>
    <row r="34">
      <c r="A34" s="2" t="s">
        <v>12</v>
      </c>
      <c r="B34" s="2">
        <v>1.0</v>
      </c>
      <c r="C34" s="4" t="str">
        <f t="shared" si="1"/>
        <v>gallo</v>
      </c>
      <c r="D34" s="4" t="s">
        <v>49</v>
      </c>
      <c r="E34" s="4" t="s">
        <v>448</v>
      </c>
      <c r="F34" s="2" t="s">
        <v>438</v>
      </c>
      <c r="G34" s="2" t="str">
        <f>vlookup(D34,'mussel-ID_key'!A:B,2,false)</f>
        <v>gallo-control-0</v>
      </c>
      <c r="H34" s="8" t="str">
        <f t="shared" si="2"/>
        <v>gallo-control-0-mantle</v>
      </c>
      <c r="I34" s="4">
        <f>vlookup(D34,'mussel-ID_key'!A:C,3,false)</f>
        <v>0</v>
      </c>
      <c r="J34" s="2" t="s">
        <v>12</v>
      </c>
      <c r="L34" s="5"/>
      <c r="M34" s="5"/>
    </row>
    <row r="35">
      <c r="A35" s="2" t="s">
        <v>12</v>
      </c>
      <c r="B35" s="2">
        <v>1.0</v>
      </c>
      <c r="C35" s="4" t="str">
        <f t="shared" si="1"/>
        <v>gallo</v>
      </c>
      <c r="D35" s="4" t="s">
        <v>52</v>
      </c>
      <c r="E35" s="4" t="s">
        <v>449</v>
      </c>
      <c r="F35" s="2" t="s">
        <v>438</v>
      </c>
      <c r="G35" s="2" t="str">
        <f>vlookup(D35,'mussel-ID_key'!A:B,2,false)</f>
        <v>gallo-control-0</v>
      </c>
      <c r="H35" s="8" t="str">
        <f t="shared" si="2"/>
        <v>gallo-control-0-mantle</v>
      </c>
      <c r="I35" s="4">
        <f>vlookup(D35,'mussel-ID_key'!A:C,3,false)</f>
        <v>0</v>
      </c>
      <c r="J35" s="2" t="s">
        <v>12</v>
      </c>
      <c r="L35" s="5"/>
      <c r="M35" s="5"/>
    </row>
    <row r="36">
      <c r="A36" s="2" t="s">
        <v>78</v>
      </c>
      <c r="B36" s="2">
        <v>7.0</v>
      </c>
      <c r="C36" s="4" t="str">
        <f t="shared" si="1"/>
        <v>gallo</v>
      </c>
      <c r="D36" s="6" t="str">
        <f t="shared" ref="D36:D71" si="5">left(E36,3)</f>
        <v>G79</v>
      </c>
      <c r="E36" s="5" t="s">
        <v>157</v>
      </c>
      <c r="F36" s="7" t="s">
        <v>14</v>
      </c>
      <c r="G36" s="2" t="str">
        <f>vlookup(D36,'mussel-ID_key'!A:B,2,false)</f>
        <v>gallo-control-3</v>
      </c>
      <c r="H36" s="8" t="str">
        <f t="shared" si="2"/>
        <v>gallo-control-3-foot</v>
      </c>
      <c r="I36" s="4">
        <f>vlookup(D36,'mussel-ID_key'!A:C,3,false)</f>
        <v>0</v>
      </c>
      <c r="J36" s="2" t="s">
        <v>78</v>
      </c>
      <c r="L36" s="5"/>
      <c r="M36" s="5"/>
    </row>
    <row r="37">
      <c r="A37" s="2" t="s">
        <v>78</v>
      </c>
      <c r="B37" s="2">
        <v>7.0</v>
      </c>
      <c r="C37" s="4" t="str">
        <f t="shared" si="1"/>
        <v>gallo</v>
      </c>
      <c r="D37" s="6" t="str">
        <f t="shared" si="5"/>
        <v>G80</v>
      </c>
      <c r="E37" s="5" t="s">
        <v>163</v>
      </c>
      <c r="F37" s="7" t="s">
        <v>14</v>
      </c>
      <c r="G37" s="2" t="str">
        <f>vlookup(D37,'mussel-ID_key'!A:B,2,false)</f>
        <v>gallo-control-3</v>
      </c>
      <c r="H37" s="8" t="str">
        <f t="shared" si="2"/>
        <v>gallo-control-3-foot</v>
      </c>
      <c r="I37" s="4">
        <f>vlookup(D37,'mussel-ID_key'!A:C,3,false)</f>
        <v>0</v>
      </c>
      <c r="J37" s="2" t="s">
        <v>78</v>
      </c>
      <c r="L37" s="5"/>
      <c r="M37" s="5"/>
    </row>
    <row r="38">
      <c r="A38" s="2" t="s">
        <v>78</v>
      </c>
      <c r="B38" s="2">
        <v>7.0</v>
      </c>
      <c r="C38" s="4" t="str">
        <f t="shared" si="1"/>
        <v>gallo</v>
      </c>
      <c r="D38" s="6" t="str">
        <f t="shared" si="5"/>
        <v>G81</v>
      </c>
      <c r="E38" s="5" t="s">
        <v>166</v>
      </c>
      <c r="F38" s="7" t="s">
        <v>14</v>
      </c>
      <c r="G38" s="2" t="str">
        <f>vlookup(D38,'mussel-ID_key'!A:B,2,false)</f>
        <v>gallo-control-3</v>
      </c>
      <c r="H38" s="8" t="str">
        <f t="shared" si="2"/>
        <v>gallo-control-3-foot</v>
      </c>
      <c r="I38" s="4">
        <f>vlookup(D38,'mussel-ID_key'!A:C,3,false)</f>
        <v>0</v>
      </c>
      <c r="J38" s="2" t="s">
        <v>78</v>
      </c>
      <c r="L38" s="5"/>
      <c r="M38" s="5"/>
    </row>
    <row r="39">
      <c r="A39" s="2" t="s">
        <v>78</v>
      </c>
      <c r="B39" s="2">
        <v>7.0</v>
      </c>
      <c r="C39" s="4" t="str">
        <f t="shared" si="1"/>
        <v>gallo</v>
      </c>
      <c r="D39" s="6" t="str">
        <f t="shared" si="5"/>
        <v>G82</v>
      </c>
      <c r="E39" s="5" t="s">
        <v>169</v>
      </c>
      <c r="F39" s="7" t="s">
        <v>14</v>
      </c>
      <c r="G39" s="2" t="str">
        <f>vlookup(D39,'mussel-ID_key'!A:B,2,false)</f>
        <v>gallo-control-3</v>
      </c>
      <c r="H39" s="8" t="str">
        <f t="shared" si="2"/>
        <v>gallo-control-3-foot</v>
      </c>
      <c r="I39" s="4">
        <f>vlookup(D39,'mussel-ID_key'!A:C,3,false)</f>
        <v>0</v>
      </c>
      <c r="J39" s="2" t="s">
        <v>78</v>
      </c>
      <c r="L39" s="5"/>
      <c r="M39" s="5"/>
    </row>
    <row r="40">
      <c r="A40" s="2" t="s">
        <v>78</v>
      </c>
      <c r="B40" s="2">
        <v>7.0</v>
      </c>
      <c r="C40" s="4" t="str">
        <f t="shared" si="1"/>
        <v>gallo</v>
      </c>
      <c r="D40" s="6" t="str">
        <f t="shared" si="5"/>
        <v>G83</v>
      </c>
      <c r="E40" s="5" t="s">
        <v>172</v>
      </c>
      <c r="F40" s="7" t="s">
        <v>14</v>
      </c>
      <c r="G40" s="2" t="str">
        <f>vlookup(D40,'mussel-ID_key'!A:B,2,false)</f>
        <v>gallo-control-3</v>
      </c>
      <c r="H40" s="8" t="str">
        <f t="shared" si="2"/>
        <v>gallo-control-3-foot</v>
      </c>
      <c r="I40" s="4">
        <f>vlookup(D40,'mussel-ID_key'!A:C,3,false)</f>
        <v>0</v>
      </c>
      <c r="J40" s="2" t="s">
        <v>78</v>
      </c>
      <c r="L40" s="5"/>
      <c r="M40" s="5"/>
    </row>
    <row r="41">
      <c r="A41" s="2" t="s">
        <v>78</v>
      </c>
      <c r="B41" s="2">
        <v>7.0</v>
      </c>
      <c r="C41" s="4" t="str">
        <f t="shared" si="1"/>
        <v>gallo</v>
      </c>
      <c r="D41" s="6" t="str">
        <f t="shared" si="5"/>
        <v>G84</v>
      </c>
      <c r="E41" s="5" t="s">
        <v>175</v>
      </c>
      <c r="F41" s="7" t="s">
        <v>14</v>
      </c>
      <c r="G41" s="2" t="str">
        <f>vlookup(D41,'mussel-ID_key'!A:B,2,false)</f>
        <v>gallo-control-3</v>
      </c>
      <c r="H41" s="8" t="str">
        <f t="shared" si="2"/>
        <v>gallo-control-3-foot</v>
      </c>
      <c r="I41" s="4">
        <f>vlookup(D41,'mussel-ID_key'!A:C,3,false)</f>
        <v>0</v>
      </c>
      <c r="J41" s="2" t="s">
        <v>78</v>
      </c>
      <c r="L41" s="5"/>
      <c r="M41" s="5"/>
    </row>
    <row r="42">
      <c r="A42" s="2" t="s">
        <v>78</v>
      </c>
      <c r="B42" s="2">
        <v>7.0</v>
      </c>
      <c r="C42" s="4" t="str">
        <f t="shared" si="1"/>
        <v>gallo</v>
      </c>
      <c r="D42" s="6" t="str">
        <f t="shared" si="5"/>
        <v>G85</v>
      </c>
      <c r="E42" s="5" t="s">
        <v>178</v>
      </c>
      <c r="F42" s="7" t="s">
        <v>14</v>
      </c>
      <c r="G42" s="2" t="str">
        <f>vlookup(D42,'mussel-ID_key'!A:B,2,false)</f>
        <v>gallo-control-3</v>
      </c>
      <c r="H42" s="8" t="str">
        <f t="shared" si="2"/>
        <v>gallo-control-3-foot</v>
      </c>
      <c r="I42" s="4">
        <f>vlookup(D42,'mussel-ID_key'!A:C,3,false)</f>
        <v>0</v>
      </c>
      <c r="J42" s="2" t="s">
        <v>78</v>
      </c>
      <c r="L42" s="5"/>
      <c r="M42" s="5"/>
    </row>
    <row r="43">
      <c r="A43" s="2" t="s">
        <v>78</v>
      </c>
      <c r="B43" s="2">
        <v>7.0</v>
      </c>
      <c r="C43" s="4" t="str">
        <f t="shared" si="1"/>
        <v>gallo</v>
      </c>
      <c r="D43" s="6" t="str">
        <f t="shared" si="5"/>
        <v>G86</v>
      </c>
      <c r="E43" s="5" t="s">
        <v>181</v>
      </c>
      <c r="F43" s="7" t="s">
        <v>14</v>
      </c>
      <c r="G43" s="2" t="str">
        <f>vlookup(D43,'mussel-ID_key'!A:B,2,false)</f>
        <v>gallo-control-3</v>
      </c>
      <c r="H43" s="8" t="str">
        <f t="shared" si="2"/>
        <v>gallo-control-3-foot</v>
      </c>
      <c r="I43" s="4">
        <f>vlookup(D43,'mussel-ID_key'!A:C,3,false)</f>
        <v>0</v>
      </c>
      <c r="J43" s="2" t="s">
        <v>78</v>
      </c>
      <c r="L43" s="5"/>
      <c r="M43" s="5"/>
    </row>
    <row r="44">
      <c r="A44" s="2" t="s">
        <v>78</v>
      </c>
      <c r="B44" s="2">
        <v>7.0</v>
      </c>
      <c r="C44" s="4" t="str">
        <f t="shared" si="1"/>
        <v>gallo</v>
      </c>
      <c r="D44" s="6" t="str">
        <f t="shared" si="5"/>
        <v>G87</v>
      </c>
      <c r="E44" s="5" t="s">
        <v>184</v>
      </c>
      <c r="F44" s="7" t="s">
        <v>14</v>
      </c>
      <c r="G44" s="2" t="str">
        <f>vlookup(D44,'mussel-ID_key'!A:B,2,false)</f>
        <v>gallo-control-3</v>
      </c>
      <c r="H44" s="8" t="str">
        <f t="shared" si="2"/>
        <v>gallo-control-3-foot</v>
      </c>
      <c r="I44" s="4">
        <f>vlookup(D44,'mussel-ID_key'!A:C,3,false)</f>
        <v>0</v>
      </c>
      <c r="J44" s="2" t="s">
        <v>78</v>
      </c>
      <c r="L44" s="5"/>
      <c r="M44" s="5"/>
    </row>
    <row r="45">
      <c r="A45" s="2" t="s">
        <v>78</v>
      </c>
      <c r="B45" s="2">
        <v>7.0</v>
      </c>
      <c r="C45" s="4" t="str">
        <f t="shared" si="1"/>
        <v>gallo</v>
      </c>
      <c r="D45" s="6" t="str">
        <f t="shared" si="5"/>
        <v>G88</v>
      </c>
      <c r="E45" s="5" t="s">
        <v>187</v>
      </c>
      <c r="F45" s="7" t="s">
        <v>14</v>
      </c>
      <c r="G45" s="2" t="str">
        <f>vlookup(D45,'mussel-ID_key'!A:B,2,false)</f>
        <v>gallo-control-3</v>
      </c>
      <c r="H45" s="8" t="str">
        <f t="shared" si="2"/>
        <v>gallo-control-3-foot</v>
      </c>
      <c r="I45" s="4">
        <f>vlookup(D45,'mussel-ID_key'!A:C,3,false)</f>
        <v>0</v>
      </c>
      <c r="J45" s="2" t="s">
        <v>78</v>
      </c>
      <c r="L45" s="5"/>
      <c r="M45" s="5"/>
    </row>
    <row r="46">
      <c r="A46" s="2" t="s">
        <v>78</v>
      </c>
      <c r="B46" s="2">
        <v>7.0</v>
      </c>
      <c r="C46" s="4" t="str">
        <f t="shared" si="1"/>
        <v>gallo</v>
      </c>
      <c r="D46" s="6" t="str">
        <f t="shared" si="5"/>
        <v>G89</v>
      </c>
      <c r="E46" s="5" t="s">
        <v>190</v>
      </c>
      <c r="F46" s="7" t="s">
        <v>14</v>
      </c>
      <c r="G46" s="2" t="str">
        <f>vlookup(D46,'mussel-ID_key'!A:B,2,false)</f>
        <v>gallo-control-3</v>
      </c>
      <c r="H46" s="8" t="str">
        <f t="shared" si="2"/>
        <v>gallo-control-3-foot</v>
      </c>
      <c r="I46" s="4">
        <f>vlookup(D46,'mussel-ID_key'!A:C,3,false)</f>
        <v>0</v>
      </c>
      <c r="J46" s="2" t="s">
        <v>78</v>
      </c>
      <c r="L46" s="5"/>
      <c r="M46" s="5"/>
    </row>
    <row r="47">
      <c r="A47" s="2" t="s">
        <v>78</v>
      </c>
      <c r="B47" s="2">
        <v>7.0</v>
      </c>
      <c r="C47" s="4" t="str">
        <f t="shared" si="1"/>
        <v>gallo</v>
      </c>
      <c r="D47" s="6" t="str">
        <f t="shared" si="5"/>
        <v>G90</v>
      </c>
      <c r="E47" s="5" t="s">
        <v>193</v>
      </c>
      <c r="F47" s="7" t="s">
        <v>14</v>
      </c>
      <c r="G47" s="2" t="str">
        <f>vlookup(D47,'mussel-ID_key'!A:B,2,false)</f>
        <v>gallo-control-3</v>
      </c>
      <c r="H47" s="8" t="str">
        <f t="shared" si="2"/>
        <v>gallo-control-3-foot</v>
      </c>
      <c r="I47" s="4">
        <f>vlookup(D47,'mussel-ID_key'!A:C,3,false)</f>
        <v>0</v>
      </c>
      <c r="J47" s="2" t="s">
        <v>78</v>
      </c>
      <c r="L47" s="5"/>
      <c r="M47" s="5"/>
    </row>
    <row r="48">
      <c r="A48" s="2" t="s">
        <v>83</v>
      </c>
      <c r="B48" s="2">
        <v>5.0</v>
      </c>
      <c r="C48" s="4" t="str">
        <f t="shared" si="1"/>
        <v>gallo</v>
      </c>
      <c r="D48" s="5" t="str">
        <f t="shared" si="5"/>
        <v>G79</v>
      </c>
      <c r="E48" s="5" t="s">
        <v>161</v>
      </c>
      <c r="F48" s="2" t="s">
        <v>18</v>
      </c>
      <c r="G48" s="2" t="str">
        <f>vlookup(D48,'mussel-ID_key'!A:B,2,false)</f>
        <v>gallo-control-3</v>
      </c>
      <c r="H48" s="8" t="str">
        <f t="shared" si="2"/>
        <v>gallo-control-3-gill</v>
      </c>
      <c r="I48" s="4">
        <f>vlookup(D48,'mussel-ID_key'!A:C,3,false)</f>
        <v>0</v>
      </c>
      <c r="J48" s="2" t="s">
        <v>83</v>
      </c>
      <c r="L48" s="5"/>
      <c r="M48" s="5"/>
    </row>
    <row r="49">
      <c r="A49" s="2" t="s">
        <v>83</v>
      </c>
      <c r="B49" s="2">
        <v>5.0</v>
      </c>
      <c r="C49" s="4" t="str">
        <f t="shared" si="1"/>
        <v>gallo</v>
      </c>
      <c r="D49" s="5" t="str">
        <f t="shared" si="5"/>
        <v>G80</v>
      </c>
      <c r="E49" s="5" t="s">
        <v>165</v>
      </c>
      <c r="F49" s="2" t="s">
        <v>18</v>
      </c>
      <c r="G49" s="2" t="str">
        <f>vlookup(D49,'mussel-ID_key'!A:B,2,false)</f>
        <v>gallo-control-3</v>
      </c>
      <c r="H49" s="8" t="str">
        <f t="shared" si="2"/>
        <v>gallo-control-3-gill</v>
      </c>
      <c r="I49" s="4">
        <f>vlookup(D49,'mussel-ID_key'!A:C,3,false)</f>
        <v>0</v>
      </c>
      <c r="J49" s="2" t="s">
        <v>83</v>
      </c>
      <c r="L49" s="5"/>
      <c r="M49" s="5"/>
    </row>
    <row r="50">
      <c r="A50" s="2" t="s">
        <v>83</v>
      </c>
      <c r="B50" s="2">
        <v>5.0</v>
      </c>
      <c r="C50" s="4" t="str">
        <f t="shared" si="1"/>
        <v>gallo</v>
      </c>
      <c r="D50" s="5" t="str">
        <f t="shared" si="5"/>
        <v>G81</v>
      </c>
      <c r="E50" s="5" t="s">
        <v>168</v>
      </c>
      <c r="F50" s="2" t="s">
        <v>18</v>
      </c>
      <c r="G50" s="2" t="str">
        <f>vlookup(D50,'mussel-ID_key'!A:B,2,false)</f>
        <v>gallo-control-3</v>
      </c>
      <c r="H50" s="8" t="str">
        <f t="shared" si="2"/>
        <v>gallo-control-3-gill</v>
      </c>
      <c r="I50" s="4">
        <f>vlookup(D50,'mussel-ID_key'!A:C,3,false)</f>
        <v>0</v>
      </c>
      <c r="J50" s="2" t="s">
        <v>83</v>
      </c>
      <c r="L50" s="5"/>
      <c r="M50" s="5"/>
    </row>
    <row r="51">
      <c r="A51" s="2" t="s">
        <v>83</v>
      </c>
      <c r="B51" s="2">
        <v>5.0</v>
      </c>
      <c r="C51" s="4" t="str">
        <f t="shared" si="1"/>
        <v>gallo</v>
      </c>
      <c r="D51" s="5" t="str">
        <f t="shared" si="5"/>
        <v>G82</v>
      </c>
      <c r="E51" s="5" t="s">
        <v>171</v>
      </c>
      <c r="F51" s="2" t="s">
        <v>18</v>
      </c>
      <c r="G51" s="2" t="str">
        <f>vlookup(D51,'mussel-ID_key'!A:B,2,false)</f>
        <v>gallo-control-3</v>
      </c>
      <c r="H51" s="8" t="str">
        <f t="shared" si="2"/>
        <v>gallo-control-3-gill</v>
      </c>
      <c r="I51" s="4">
        <f>vlookup(D51,'mussel-ID_key'!A:C,3,false)</f>
        <v>0</v>
      </c>
      <c r="J51" s="2" t="s">
        <v>83</v>
      </c>
      <c r="L51" s="5"/>
      <c r="M51" s="5"/>
    </row>
    <row r="52">
      <c r="A52" s="2" t="s">
        <v>83</v>
      </c>
      <c r="B52" s="2">
        <v>5.0</v>
      </c>
      <c r="C52" s="4" t="str">
        <f t="shared" si="1"/>
        <v>gallo</v>
      </c>
      <c r="D52" s="5" t="str">
        <f t="shared" si="5"/>
        <v>G83</v>
      </c>
      <c r="E52" s="5" t="s">
        <v>174</v>
      </c>
      <c r="F52" s="2" t="s">
        <v>18</v>
      </c>
      <c r="G52" s="2" t="str">
        <f>vlookup(D52,'mussel-ID_key'!A:B,2,false)</f>
        <v>gallo-control-3</v>
      </c>
      <c r="H52" s="8" t="str">
        <f t="shared" si="2"/>
        <v>gallo-control-3-gill</v>
      </c>
      <c r="I52" s="4">
        <f>vlookup(D52,'mussel-ID_key'!A:C,3,false)</f>
        <v>0</v>
      </c>
      <c r="J52" s="2" t="s">
        <v>83</v>
      </c>
      <c r="L52" s="5"/>
      <c r="M52" s="5"/>
    </row>
    <row r="53">
      <c r="A53" s="2" t="s">
        <v>83</v>
      </c>
      <c r="B53" s="2">
        <v>5.0</v>
      </c>
      <c r="C53" s="4" t="str">
        <f t="shared" si="1"/>
        <v>gallo</v>
      </c>
      <c r="D53" s="5" t="str">
        <f t="shared" si="5"/>
        <v>G84</v>
      </c>
      <c r="E53" s="5" t="s">
        <v>177</v>
      </c>
      <c r="F53" s="2" t="s">
        <v>18</v>
      </c>
      <c r="G53" s="2" t="str">
        <f>vlookup(D53,'mussel-ID_key'!A:B,2,false)</f>
        <v>gallo-control-3</v>
      </c>
      <c r="H53" s="8" t="str">
        <f t="shared" si="2"/>
        <v>gallo-control-3-gill</v>
      </c>
      <c r="I53" s="4">
        <f>vlookup(D53,'mussel-ID_key'!A:C,3,false)</f>
        <v>0</v>
      </c>
      <c r="J53" s="2" t="s">
        <v>83</v>
      </c>
      <c r="L53" s="5"/>
      <c r="M53" s="5"/>
    </row>
    <row r="54">
      <c r="A54" s="2" t="s">
        <v>83</v>
      </c>
      <c r="B54" s="2">
        <v>5.0</v>
      </c>
      <c r="C54" s="4" t="str">
        <f t="shared" si="1"/>
        <v>gallo</v>
      </c>
      <c r="D54" s="5" t="str">
        <f t="shared" si="5"/>
        <v>G85</v>
      </c>
      <c r="E54" s="5" t="s">
        <v>180</v>
      </c>
      <c r="F54" s="2" t="s">
        <v>18</v>
      </c>
      <c r="G54" s="2" t="str">
        <f>vlookup(D54,'mussel-ID_key'!A:B,2,false)</f>
        <v>gallo-control-3</v>
      </c>
      <c r="H54" s="8" t="str">
        <f t="shared" si="2"/>
        <v>gallo-control-3-gill</v>
      </c>
      <c r="I54" s="4">
        <f>vlookup(D54,'mussel-ID_key'!A:C,3,false)</f>
        <v>0</v>
      </c>
      <c r="J54" s="2" t="s">
        <v>83</v>
      </c>
      <c r="L54" s="5"/>
      <c r="M54" s="5"/>
    </row>
    <row r="55">
      <c r="A55" s="2" t="s">
        <v>83</v>
      </c>
      <c r="B55" s="2">
        <v>5.0</v>
      </c>
      <c r="C55" s="4" t="str">
        <f t="shared" si="1"/>
        <v>gallo</v>
      </c>
      <c r="D55" s="5" t="str">
        <f t="shared" si="5"/>
        <v>G86</v>
      </c>
      <c r="E55" s="5" t="s">
        <v>183</v>
      </c>
      <c r="F55" s="2" t="s">
        <v>18</v>
      </c>
      <c r="G55" s="2" t="str">
        <f>vlookup(D55,'mussel-ID_key'!A:B,2,false)</f>
        <v>gallo-control-3</v>
      </c>
      <c r="H55" s="8" t="str">
        <f t="shared" si="2"/>
        <v>gallo-control-3-gill</v>
      </c>
      <c r="I55" s="4">
        <f>vlookup(D55,'mussel-ID_key'!A:C,3,false)</f>
        <v>0</v>
      </c>
      <c r="J55" s="2" t="s">
        <v>83</v>
      </c>
      <c r="L55" s="5"/>
      <c r="M55" s="5"/>
    </row>
    <row r="56">
      <c r="A56" s="2" t="s">
        <v>83</v>
      </c>
      <c r="B56" s="2">
        <v>5.0</v>
      </c>
      <c r="C56" s="4" t="str">
        <f t="shared" si="1"/>
        <v>gallo</v>
      </c>
      <c r="D56" s="5" t="str">
        <f t="shared" si="5"/>
        <v>G87</v>
      </c>
      <c r="E56" s="5" t="s">
        <v>186</v>
      </c>
      <c r="F56" s="2" t="s">
        <v>18</v>
      </c>
      <c r="G56" s="2" t="str">
        <f>vlookup(D56,'mussel-ID_key'!A:B,2,false)</f>
        <v>gallo-control-3</v>
      </c>
      <c r="H56" s="8" t="str">
        <f t="shared" si="2"/>
        <v>gallo-control-3-gill</v>
      </c>
      <c r="I56" s="4">
        <f>vlookup(D56,'mussel-ID_key'!A:C,3,false)</f>
        <v>0</v>
      </c>
      <c r="J56" s="2" t="s">
        <v>83</v>
      </c>
      <c r="L56" s="5"/>
      <c r="M56" s="5"/>
    </row>
    <row r="57">
      <c r="A57" s="2" t="s">
        <v>83</v>
      </c>
      <c r="B57" s="2">
        <v>5.0</v>
      </c>
      <c r="C57" s="4" t="str">
        <f t="shared" si="1"/>
        <v>gallo</v>
      </c>
      <c r="D57" s="5" t="str">
        <f t="shared" si="5"/>
        <v>G88</v>
      </c>
      <c r="E57" s="5" t="s">
        <v>189</v>
      </c>
      <c r="F57" s="2" t="s">
        <v>18</v>
      </c>
      <c r="G57" s="2" t="str">
        <f>vlookup(D57,'mussel-ID_key'!A:B,2,false)</f>
        <v>gallo-control-3</v>
      </c>
      <c r="H57" s="8" t="str">
        <f t="shared" si="2"/>
        <v>gallo-control-3-gill</v>
      </c>
      <c r="I57" s="4">
        <f>vlookup(D57,'mussel-ID_key'!A:C,3,false)</f>
        <v>0</v>
      </c>
      <c r="J57" s="2" t="s">
        <v>83</v>
      </c>
      <c r="L57" s="5"/>
      <c r="M57" s="5"/>
    </row>
    <row r="58">
      <c r="A58" s="2" t="s">
        <v>83</v>
      </c>
      <c r="B58" s="2">
        <v>5.0</v>
      </c>
      <c r="C58" s="4" t="str">
        <f t="shared" si="1"/>
        <v>gallo</v>
      </c>
      <c r="D58" s="5" t="str">
        <f t="shared" si="5"/>
        <v>G89</v>
      </c>
      <c r="E58" s="5" t="s">
        <v>192</v>
      </c>
      <c r="F58" s="2" t="s">
        <v>18</v>
      </c>
      <c r="G58" s="2" t="str">
        <f>vlookup(D58,'mussel-ID_key'!A:B,2,false)</f>
        <v>gallo-control-3</v>
      </c>
      <c r="H58" s="8" t="str">
        <f t="shared" si="2"/>
        <v>gallo-control-3-gill</v>
      </c>
      <c r="I58" s="4">
        <f>vlookup(D58,'mussel-ID_key'!A:C,3,false)</f>
        <v>0</v>
      </c>
      <c r="J58" s="2" t="s">
        <v>83</v>
      </c>
      <c r="L58" s="5"/>
      <c r="M58" s="5"/>
    </row>
    <row r="59">
      <c r="A59" s="2" t="s">
        <v>83</v>
      </c>
      <c r="B59" s="2">
        <v>5.0</v>
      </c>
      <c r="C59" s="4" t="str">
        <f t="shared" si="1"/>
        <v>gallo</v>
      </c>
      <c r="D59" s="5" t="str">
        <f t="shared" si="5"/>
        <v>G90</v>
      </c>
      <c r="E59" s="5" t="s">
        <v>195</v>
      </c>
      <c r="F59" s="2" t="s">
        <v>18</v>
      </c>
      <c r="G59" s="2" t="str">
        <f>vlookup(D59,'mussel-ID_key'!A:B,2,false)</f>
        <v>gallo-control-3</v>
      </c>
      <c r="H59" s="8" t="str">
        <f t="shared" si="2"/>
        <v>gallo-control-3-gill</v>
      </c>
      <c r="I59" s="4">
        <f>vlookup(D59,'mussel-ID_key'!A:C,3,false)</f>
        <v>0</v>
      </c>
      <c r="J59" s="2" t="s">
        <v>83</v>
      </c>
      <c r="L59" s="5"/>
      <c r="M59" s="5"/>
    </row>
    <row r="60">
      <c r="A60" s="2" t="s">
        <v>450</v>
      </c>
      <c r="B60" s="2">
        <v>6.0</v>
      </c>
      <c r="C60" s="4" t="str">
        <f t="shared" si="1"/>
        <v>gallo</v>
      </c>
      <c r="D60" s="5" t="str">
        <f t="shared" si="5"/>
        <v>G79</v>
      </c>
      <c r="E60" s="5" t="s">
        <v>451</v>
      </c>
      <c r="F60" s="2" t="s">
        <v>438</v>
      </c>
      <c r="G60" s="2" t="str">
        <f>vlookup(D60,'mussel-ID_key'!A:B,2,false)</f>
        <v>gallo-control-3</v>
      </c>
      <c r="H60" s="8" t="str">
        <f t="shared" si="2"/>
        <v>gallo-control-3-mantle</v>
      </c>
      <c r="I60" s="4">
        <f>vlookup(D60,'mussel-ID_key'!A:C,3,false)</f>
        <v>0</v>
      </c>
      <c r="J60" s="2" t="s">
        <v>450</v>
      </c>
      <c r="L60" s="5"/>
      <c r="M60" s="5"/>
    </row>
    <row r="61">
      <c r="A61" s="2" t="s">
        <v>450</v>
      </c>
      <c r="B61" s="2">
        <v>6.0</v>
      </c>
      <c r="C61" s="4" t="str">
        <f t="shared" si="1"/>
        <v>gallo</v>
      </c>
      <c r="D61" s="5" t="str">
        <f t="shared" si="5"/>
        <v>G80</v>
      </c>
      <c r="E61" s="5" t="s">
        <v>452</v>
      </c>
      <c r="F61" s="2" t="s">
        <v>438</v>
      </c>
      <c r="G61" s="2" t="str">
        <f>vlookup(D61,'mussel-ID_key'!A:B,2,false)</f>
        <v>gallo-control-3</v>
      </c>
      <c r="H61" s="8" t="str">
        <f t="shared" si="2"/>
        <v>gallo-control-3-mantle</v>
      </c>
      <c r="I61" s="4">
        <f>vlookup(D61,'mussel-ID_key'!A:C,3,false)</f>
        <v>0</v>
      </c>
      <c r="J61" s="2" t="s">
        <v>450</v>
      </c>
      <c r="L61" s="5"/>
      <c r="M61" s="5"/>
    </row>
    <row r="62">
      <c r="A62" s="2" t="s">
        <v>450</v>
      </c>
      <c r="B62" s="2">
        <v>6.0</v>
      </c>
      <c r="C62" s="4" t="str">
        <f t="shared" si="1"/>
        <v>gallo</v>
      </c>
      <c r="D62" s="5" t="str">
        <f t="shared" si="5"/>
        <v>G81</v>
      </c>
      <c r="E62" s="5" t="s">
        <v>453</v>
      </c>
      <c r="F62" s="2" t="s">
        <v>438</v>
      </c>
      <c r="G62" s="2" t="str">
        <f>vlookup(D62,'mussel-ID_key'!A:B,2,false)</f>
        <v>gallo-control-3</v>
      </c>
      <c r="H62" s="8" t="str">
        <f t="shared" si="2"/>
        <v>gallo-control-3-mantle</v>
      </c>
      <c r="I62" s="4">
        <f>vlookup(D62,'mussel-ID_key'!A:C,3,false)</f>
        <v>0</v>
      </c>
      <c r="J62" s="2" t="s">
        <v>450</v>
      </c>
      <c r="L62" s="5"/>
      <c r="M62" s="5"/>
    </row>
    <row r="63">
      <c r="A63" s="2" t="s">
        <v>450</v>
      </c>
      <c r="B63" s="2">
        <v>6.0</v>
      </c>
      <c r="C63" s="4" t="str">
        <f t="shared" si="1"/>
        <v>gallo</v>
      </c>
      <c r="D63" s="5" t="str">
        <f t="shared" si="5"/>
        <v>G82</v>
      </c>
      <c r="E63" s="5" t="s">
        <v>454</v>
      </c>
      <c r="F63" s="2" t="s">
        <v>438</v>
      </c>
      <c r="G63" s="2" t="str">
        <f>vlookup(D63,'mussel-ID_key'!A:B,2,false)</f>
        <v>gallo-control-3</v>
      </c>
      <c r="H63" s="8" t="str">
        <f t="shared" si="2"/>
        <v>gallo-control-3-mantle</v>
      </c>
      <c r="I63" s="4">
        <f>vlookup(D63,'mussel-ID_key'!A:C,3,false)</f>
        <v>0</v>
      </c>
      <c r="J63" s="2" t="s">
        <v>450</v>
      </c>
      <c r="L63" s="5"/>
      <c r="M63" s="5"/>
    </row>
    <row r="64">
      <c r="A64" s="2" t="s">
        <v>450</v>
      </c>
      <c r="B64" s="2">
        <v>6.0</v>
      </c>
      <c r="C64" s="4" t="str">
        <f t="shared" si="1"/>
        <v>gallo</v>
      </c>
      <c r="D64" s="5" t="str">
        <f t="shared" si="5"/>
        <v>G83</v>
      </c>
      <c r="E64" s="5" t="s">
        <v>455</v>
      </c>
      <c r="F64" s="2" t="s">
        <v>438</v>
      </c>
      <c r="G64" s="2" t="str">
        <f>vlookup(D64,'mussel-ID_key'!A:B,2,false)</f>
        <v>gallo-control-3</v>
      </c>
      <c r="H64" s="8" t="str">
        <f t="shared" si="2"/>
        <v>gallo-control-3-mantle</v>
      </c>
      <c r="I64" s="4">
        <f>vlookup(D64,'mussel-ID_key'!A:C,3,false)</f>
        <v>0</v>
      </c>
      <c r="J64" s="2" t="s">
        <v>450</v>
      </c>
      <c r="L64" s="5"/>
      <c r="M64" s="5"/>
    </row>
    <row r="65">
      <c r="A65" s="2" t="s">
        <v>450</v>
      </c>
      <c r="B65" s="2">
        <v>6.0</v>
      </c>
      <c r="C65" s="4" t="str">
        <f t="shared" si="1"/>
        <v>gallo</v>
      </c>
      <c r="D65" s="5" t="str">
        <f t="shared" si="5"/>
        <v>G84</v>
      </c>
      <c r="E65" s="5" t="s">
        <v>456</v>
      </c>
      <c r="F65" s="2" t="s">
        <v>438</v>
      </c>
      <c r="G65" s="2" t="str">
        <f>vlookup(D65,'mussel-ID_key'!A:B,2,false)</f>
        <v>gallo-control-3</v>
      </c>
      <c r="H65" s="8" t="str">
        <f t="shared" si="2"/>
        <v>gallo-control-3-mantle</v>
      </c>
      <c r="I65" s="4">
        <f>vlookup(D65,'mussel-ID_key'!A:C,3,false)</f>
        <v>0</v>
      </c>
      <c r="J65" s="2" t="s">
        <v>450</v>
      </c>
      <c r="L65" s="5"/>
      <c r="M65" s="5"/>
    </row>
    <row r="66">
      <c r="A66" s="2" t="s">
        <v>450</v>
      </c>
      <c r="B66" s="2">
        <v>6.0</v>
      </c>
      <c r="C66" s="4" t="str">
        <f t="shared" si="1"/>
        <v>gallo</v>
      </c>
      <c r="D66" s="5" t="str">
        <f t="shared" si="5"/>
        <v>G85</v>
      </c>
      <c r="E66" s="5" t="s">
        <v>457</v>
      </c>
      <c r="F66" s="2" t="s">
        <v>438</v>
      </c>
      <c r="G66" s="2" t="str">
        <f>vlookup(D66,'mussel-ID_key'!A:B,2,false)</f>
        <v>gallo-control-3</v>
      </c>
      <c r="H66" s="8" t="str">
        <f t="shared" si="2"/>
        <v>gallo-control-3-mantle</v>
      </c>
      <c r="I66" s="4">
        <f>vlookup(D66,'mussel-ID_key'!A:C,3,false)</f>
        <v>0</v>
      </c>
      <c r="J66" s="2" t="s">
        <v>450</v>
      </c>
      <c r="L66" s="5"/>
      <c r="M66" s="5"/>
    </row>
    <row r="67">
      <c r="A67" s="2" t="s">
        <v>450</v>
      </c>
      <c r="B67" s="2">
        <v>6.0</v>
      </c>
      <c r="C67" s="4" t="str">
        <f t="shared" si="1"/>
        <v>gallo</v>
      </c>
      <c r="D67" s="5" t="str">
        <f t="shared" si="5"/>
        <v>G86</v>
      </c>
      <c r="E67" s="5" t="s">
        <v>458</v>
      </c>
      <c r="F67" s="2" t="s">
        <v>438</v>
      </c>
      <c r="G67" s="2" t="str">
        <f>vlookup(D67,'mussel-ID_key'!A:B,2,false)</f>
        <v>gallo-control-3</v>
      </c>
      <c r="H67" s="8" t="str">
        <f t="shared" si="2"/>
        <v>gallo-control-3-mantle</v>
      </c>
      <c r="I67" s="4">
        <f>vlookup(D67,'mussel-ID_key'!A:C,3,false)</f>
        <v>0</v>
      </c>
      <c r="J67" s="2" t="s">
        <v>450</v>
      </c>
      <c r="L67" s="5"/>
      <c r="M67" s="5"/>
    </row>
    <row r="68">
      <c r="A68" s="2" t="s">
        <v>450</v>
      </c>
      <c r="B68" s="2">
        <v>6.0</v>
      </c>
      <c r="C68" s="4" t="str">
        <f t="shared" si="1"/>
        <v>gallo</v>
      </c>
      <c r="D68" s="5" t="str">
        <f t="shared" si="5"/>
        <v>G87</v>
      </c>
      <c r="E68" s="5" t="s">
        <v>459</v>
      </c>
      <c r="F68" s="2" t="s">
        <v>438</v>
      </c>
      <c r="G68" s="2" t="str">
        <f>vlookup(D68,'mussel-ID_key'!A:B,2,false)</f>
        <v>gallo-control-3</v>
      </c>
      <c r="H68" s="8" t="str">
        <f t="shared" si="2"/>
        <v>gallo-control-3-mantle</v>
      </c>
      <c r="I68" s="4">
        <f>vlookup(D68,'mussel-ID_key'!A:C,3,false)</f>
        <v>0</v>
      </c>
      <c r="J68" s="2" t="s">
        <v>450</v>
      </c>
      <c r="L68" s="5"/>
      <c r="M68" s="5"/>
    </row>
    <row r="69">
      <c r="A69" s="2" t="s">
        <v>450</v>
      </c>
      <c r="B69" s="2">
        <v>6.0</v>
      </c>
      <c r="C69" s="4" t="str">
        <f t="shared" si="1"/>
        <v>gallo</v>
      </c>
      <c r="D69" s="5" t="str">
        <f t="shared" si="5"/>
        <v>G88</v>
      </c>
      <c r="E69" s="5" t="s">
        <v>460</v>
      </c>
      <c r="F69" s="2" t="s">
        <v>438</v>
      </c>
      <c r="G69" s="2" t="str">
        <f>vlookup(D69,'mussel-ID_key'!A:B,2,false)</f>
        <v>gallo-control-3</v>
      </c>
      <c r="H69" s="8" t="str">
        <f t="shared" si="2"/>
        <v>gallo-control-3-mantle</v>
      </c>
      <c r="I69" s="4">
        <f>vlookup(D69,'mussel-ID_key'!A:C,3,false)</f>
        <v>0</v>
      </c>
      <c r="J69" s="2" t="s">
        <v>450</v>
      </c>
      <c r="L69" s="5"/>
      <c r="M69" s="5"/>
    </row>
    <row r="70">
      <c r="A70" s="2" t="s">
        <v>450</v>
      </c>
      <c r="B70" s="2">
        <v>6.0</v>
      </c>
      <c r="C70" s="4" t="str">
        <f t="shared" si="1"/>
        <v>gallo</v>
      </c>
      <c r="D70" s="5" t="str">
        <f t="shared" si="5"/>
        <v>G89</v>
      </c>
      <c r="E70" s="5" t="s">
        <v>461</v>
      </c>
      <c r="F70" s="2" t="s">
        <v>438</v>
      </c>
      <c r="G70" s="2" t="str">
        <f>vlookup(D70,'mussel-ID_key'!A:B,2,false)</f>
        <v>gallo-control-3</v>
      </c>
      <c r="H70" s="8" t="str">
        <f t="shared" si="2"/>
        <v>gallo-control-3-mantle</v>
      </c>
      <c r="I70" s="4">
        <f>vlookup(D70,'mussel-ID_key'!A:C,3,false)</f>
        <v>0</v>
      </c>
      <c r="J70" s="2" t="s">
        <v>450</v>
      </c>
      <c r="L70" s="5"/>
      <c r="M70" s="5"/>
    </row>
    <row r="71">
      <c r="A71" s="2" t="s">
        <v>450</v>
      </c>
      <c r="B71" s="2">
        <v>6.0</v>
      </c>
      <c r="C71" s="4" t="str">
        <f t="shared" si="1"/>
        <v>gallo</v>
      </c>
      <c r="D71" s="5" t="str">
        <f t="shared" si="5"/>
        <v>G90</v>
      </c>
      <c r="E71" s="5" t="s">
        <v>462</v>
      </c>
      <c r="F71" s="2" t="s">
        <v>438</v>
      </c>
      <c r="G71" s="2" t="str">
        <f>vlookup(D71,'mussel-ID_key'!A:B,2,false)</f>
        <v>gallo-control-3</v>
      </c>
      <c r="H71" s="8" t="str">
        <f t="shared" si="2"/>
        <v>gallo-control-3-mantle</v>
      </c>
      <c r="I71" s="4">
        <f>vlookup(D71,'mussel-ID_key'!A:C,3,false)</f>
        <v>0</v>
      </c>
      <c r="J71" s="2" t="s">
        <v>450</v>
      </c>
      <c r="L71" s="5"/>
      <c r="M71" s="5"/>
    </row>
    <row r="72">
      <c r="A72" s="2" t="s">
        <v>463</v>
      </c>
      <c r="B72" s="2">
        <v>2.0</v>
      </c>
      <c r="C72" s="4" t="str">
        <f t="shared" si="1"/>
        <v>gallo</v>
      </c>
      <c r="D72" s="4" t="s">
        <v>464</v>
      </c>
      <c r="E72" s="4" t="s">
        <v>465</v>
      </c>
      <c r="F72" s="2" t="s">
        <v>14</v>
      </c>
      <c r="G72" s="2" t="str">
        <f>vlookup(D72,'mussel-ID_key'!A:B,2,false)</f>
        <v>gallo-DO-1</v>
      </c>
      <c r="H72" s="8" t="str">
        <f t="shared" si="2"/>
        <v>gallo-DO-1-foot</v>
      </c>
      <c r="I72" s="4">
        <f>vlookup(D72,'mussel-ID_key'!A:C,3,false)</f>
        <v>0</v>
      </c>
      <c r="J72" s="2" t="s">
        <v>463</v>
      </c>
      <c r="L72" s="5"/>
      <c r="M72" s="5"/>
    </row>
    <row r="73">
      <c r="A73" s="2" t="s">
        <v>463</v>
      </c>
      <c r="B73" s="2">
        <v>2.0</v>
      </c>
      <c r="C73" s="4" t="str">
        <f t="shared" si="1"/>
        <v>gallo</v>
      </c>
      <c r="D73" s="4" t="s">
        <v>466</v>
      </c>
      <c r="E73" s="4" t="s">
        <v>467</v>
      </c>
      <c r="F73" s="2" t="s">
        <v>14</v>
      </c>
      <c r="G73" s="2" t="str">
        <f>vlookup(D73,'mussel-ID_key'!A:B,2,false)</f>
        <v>gallo-DO-1</v>
      </c>
      <c r="H73" s="8" t="str">
        <f t="shared" si="2"/>
        <v>gallo-DO-1-foot</v>
      </c>
      <c r="I73" s="4">
        <f>vlookup(D73,'mussel-ID_key'!A:C,3,false)</f>
        <v>0</v>
      </c>
      <c r="J73" s="2" t="s">
        <v>463</v>
      </c>
      <c r="L73" s="5"/>
      <c r="M73" s="5"/>
    </row>
    <row r="74">
      <c r="A74" s="2" t="s">
        <v>463</v>
      </c>
      <c r="B74" s="2">
        <v>2.0</v>
      </c>
      <c r="C74" s="4" t="str">
        <f t="shared" si="1"/>
        <v>gallo</v>
      </c>
      <c r="D74" s="4" t="s">
        <v>468</v>
      </c>
      <c r="E74" s="4" t="s">
        <v>469</v>
      </c>
      <c r="F74" s="2" t="s">
        <v>14</v>
      </c>
      <c r="G74" s="2" t="str">
        <f>vlookup(D74,'mussel-ID_key'!A:B,2,false)</f>
        <v>gallo-DO-1</v>
      </c>
      <c r="H74" s="8" t="str">
        <f t="shared" si="2"/>
        <v>gallo-DO-1-foot</v>
      </c>
      <c r="I74" s="4">
        <f>vlookup(D74,'mussel-ID_key'!A:C,3,false)</f>
        <v>0</v>
      </c>
      <c r="J74" s="2" t="s">
        <v>463</v>
      </c>
      <c r="L74" s="5"/>
      <c r="M74" s="5"/>
    </row>
    <row r="75">
      <c r="A75" s="2" t="s">
        <v>463</v>
      </c>
      <c r="B75" s="2">
        <v>2.0</v>
      </c>
      <c r="C75" s="4" t="str">
        <f t="shared" si="1"/>
        <v>gallo</v>
      </c>
      <c r="D75" s="4" t="s">
        <v>470</v>
      </c>
      <c r="E75" s="4" t="s">
        <v>471</v>
      </c>
      <c r="F75" s="2" t="s">
        <v>14</v>
      </c>
      <c r="G75" s="2" t="str">
        <f>vlookup(D75,'mussel-ID_key'!A:B,2,false)</f>
        <v>gallo-DO-1</v>
      </c>
      <c r="H75" s="8" t="str">
        <f t="shared" si="2"/>
        <v>gallo-DO-1-foot</v>
      </c>
      <c r="I75" s="4">
        <f>vlookup(D75,'mussel-ID_key'!A:C,3,false)</f>
        <v>0</v>
      </c>
      <c r="J75" s="2" t="s">
        <v>463</v>
      </c>
      <c r="L75" s="5"/>
      <c r="M75" s="5"/>
    </row>
    <row r="76">
      <c r="A76" s="2" t="s">
        <v>463</v>
      </c>
      <c r="B76" s="2">
        <v>2.0</v>
      </c>
      <c r="C76" s="4" t="str">
        <f t="shared" si="1"/>
        <v>gallo</v>
      </c>
      <c r="D76" s="4" t="s">
        <v>472</v>
      </c>
      <c r="E76" s="4" t="s">
        <v>473</v>
      </c>
      <c r="F76" s="2" t="s">
        <v>14</v>
      </c>
      <c r="G76" s="2" t="str">
        <f>vlookup(D76,'mussel-ID_key'!A:B,2,false)</f>
        <v>gallo-DO-1</v>
      </c>
      <c r="H76" s="8" t="str">
        <f t="shared" si="2"/>
        <v>gallo-DO-1-foot</v>
      </c>
      <c r="I76" s="4">
        <f>vlookup(D76,'mussel-ID_key'!A:C,3,false)</f>
        <v>0</v>
      </c>
      <c r="J76" s="2" t="s">
        <v>463</v>
      </c>
      <c r="L76" s="5"/>
      <c r="M76" s="5"/>
    </row>
    <row r="77">
      <c r="A77" s="2" t="s">
        <v>463</v>
      </c>
      <c r="B77" s="2">
        <v>2.0</v>
      </c>
      <c r="C77" s="4" t="str">
        <f t="shared" si="1"/>
        <v>gallo</v>
      </c>
      <c r="D77" s="4" t="s">
        <v>464</v>
      </c>
      <c r="E77" s="4" t="s">
        <v>474</v>
      </c>
      <c r="F77" s="2" t="s">
        <v>18</v>
      </c>
      <c r="G77" s="2" t="str">
        <f>vlookup(D77,'mussel-ID_key'!A:B,2,false)</f>
        <v>gallo-DO-1</v>
      </c>
      <c r="H77" s="8" t="str">
        <f t="shared" si="2"/>
        <v>gallo-DO-1-gill</v>
      </c>
      <c r="I77" s="4">
        <f>vlookup(D77,'mussel-ID_key'!A:C,3,false)</f>
        <v>0</v>
      </c>
      <c r="J77" s="2" t="s">
        <v>463</v>
      </c>
      <c r="L77" s="5"/>
      <c r="M77" s="5"/>
    </row>
    <row r="78">
      <c r="A78" s="2" t="s">
        <v>463</v>
      </c>
      <c r="B78" s="2">
        <v>2.0</v>
      </c>
      <c r="C78" s="4" t="str">
        <f t="shared" si="1"/>
        <v>gallo</v>
      </c>
      <c r="D78" s="4" t="s">
        <v>466</v>
      </c>
      <c r="E78" s="4" t="s">
        <v>475</v>
      </c>
      <c r="F78" s="2" t="s">
        <v>18</v>
      </c>
      <c r="G78" s="2" t="str">
        <f>vlookup(D78,'mussel-ID_key'!A:B,2,false)</f>
        <v>gallo-DO-1</v>
      </c>
      <c r="H78" s="8" t="str">
        <f t="shared" si="2"/>
        <v>gallo-DO-1-gill</v>
      </c>
      <c r="I78" s="4">
        <f>vlookup(D78,'mussel-ID_key'!A:C,3,false)</f>
        <v>0</v>
      </c>
      <c r="J78" s="2" t="s">
        <v>463</v>
      </c>
      <c r="L78" s="5"/>
      <c r="M78" s="5"/>
    </row>
    <row r="79">
      <c r="A79" s="2" t="s">
        <v>463</v>
      </c>
      <c r="B79" s="2">
        <v>2.0</v>
      </c>
      <c r="C79" s="4" t="str">
        <f t="shared" si="1"/>
        <v>gallo</v>
      </c>
      <c r="D79" s="4" t="s">
        <v>468</v>
      </c>
      <c r="E79" s="4" t="s">
        <v>476</v>
      </c>
      <c r="F79" s="2" t="s">
        <v>18</v>
      </c>
      <c r="G79" s="2" t="str">
        <f>vlookup(D79,'mussel-ID_key'!A:B,2,false)</f>
        <v>gallo-DO-1</v>
      </c>
      <c r="H79" s="8" t="str">
        <f t="shared" si="2"/>
        <v>gallo-DO-1-gill</v>
      </c>
      <c r="I79" s="4">
        <f>vlookup(D79,'mussel-ID_key'!A:C,3,false)</f>
        <v>0</v>
      </c>
      <c r="J79" s="2" t="s">
        <v>463</v>
      </c>
      <c r="L79" s="5"/>
      <c r="M79" s="5"/>
    </row>
    <row r="80">
      <c r="A80" s="2" t="s">
        <v>463</v>
      </c>
      <c r="B80" s="2">
        <v>2.0</v>
      </c>
      <c r="C80" s="4" t="str">
        <f t="shared" si="1"/>
        <v>gallo</v>
      </c>
      <c r="D80" s="4" t="s">
        <v>470</v>
      </c>
      <c r="E80" s="4" t="s">
        <v>477</v>
      </c>
      <c r="F80" s="2" t="s">
        <v>18</v>
      </c>
      <c r="G80" s="2" t="str">
        <f>vlookup(D80,'mussel-ID_key'!A:B,2,false)</f>
        <v>gallo-DO-1</v>
      </c>
      <c r="H80" s="8" t="str">
        <f t="shared" si="2"/>
        <v>gallo-DO-1-gill</v>
      </c>
      <c r="I80" s="4">
        <f>vlookup(D80,'mussel-ID_key'!A:C,3,false)</f>
        <v>0</v>
      </c>
      <c r="J80" s="2" t="s">
        <v>463</v>
      </c>
      <c r="L80" s="5"/>
      <c r="M80" s="5"/>
    </row>
    <row r="81">
      <c r="A81" s="2" t="s">
        <v>463</v>
      </c>
      <c r="B81" s="2">
        <v>2.0</v>
      </c>
      <c r="C81" s="4" t="str">
        <f t="shared" si="1"/>
        <v>gallo</v>
      </c>
      <c r="D81" s="4" t="s">
        <v>472</v>
      </c>
      <c r="E81" s="4" t="s">
        <v>478</v>
      </c>
      <c r="F81" s="2" t="s">
        <v>18</v>
      </c>
      <c r="G81" s="2" t="str">
        <f>vlookup(D81,'mussel-ID_key'!A:B,2,false)</f>
        <v>gallo-DO-1</v>
      </c>
      <c r="H81" s="8" t="str">
        <f t="shared" si="2"/>
        <v>gallo-DO-1-gill</v>
      </c>
      <c r="I81" s="4">
        <f>vlookup(D81,'mussel-ID_key'!A:C,3,false)</f>
        <v>0</v>
      </c>
      <c r="J81" s="2" t="s">
        <v>463</v>
      </c>
      <c r="L81" s="5"/>
      <c r="M81" s="5"/>
    </row>
    <row r="82">
      <c r="A82" s="2" t="s">
        <v>463</v>
      </c>
      <c r="B82" s="2">
        <v>2.0</v>
      </c>
      <c r="C82" s="4" t="str">
        <f t="shared" si="1"/>
        <v>gallo</v>
      </c>
      <c r="D82" s="4" t="s">
        <v>464</v>
      </c>
      <c r="E82" s="4" t="s">
        <v>479</v>
      </c>
      <c r="F82" s="2" t="s">
        <v>438</v>
      </c>
      <c r="G82" s="2" t="str">
        <f>vlookup(D82,'mussel-ID_key'!A:B,2,false)</f>
        <v>gallo-DO-1</v>
      </c>
      <c r="H82" s="8" t="str">
        <f t="shared" si="2"/>
        <v>gallo-DO-1-mantle</v>
      </c>
      <c r="I82" s="4">
        <f>vlookup(D82,'mussel-ID_key'!A:C,3,false)</f>
        <v>0</v>
      </c>
      <c r="J82" s="2" t="s">
        <v>463</v>
      </c>
      <c r="L82" s="5"/>
      <c r="M82" s="5"/>
    </row>
    <row r="83">
      <c r="A83" s="2" t="s">
        <v>463</v>
      </c>
      <c r="B83" s="2">
        <v>2.0</v>
      </c>
      <c r="C83" s="4" t="str">
        <f t="shared" si="1"/>
        <v>gallo</v>
      </c>
      <c r="D83" s="4" t="s">
        <v>466</v>
      </c>
      <c r="E83" s="4" t="s">
        <v>480</v>
      </c>
      <c r="F83" s="2" t="s">
        <v>438</v>
      </c>
      <c r="G83" s="2" t="str">
        <f>vlookup(D83,'mussel-ID_key'!A:B,2,false)</f>
        <v>gallo-DO-1</v>
      </c>
      <c r="H83" s="8" t="str">
        <f t="shared" si="2"/>
        <v>gallo-DO-1-mantle</v>
      </c>
      <c r="I83" s="4">
        <f>vlookup(D83,'mussel-ID_key'!A:C,3,false)</f>
        <v>0</v>
      </c>
      <c r="J83" s="2" t="s">
        <v>463</v>
      </c>
      <c r="L83" s="5"/>
      <c r="M83" s="5"/>
    </row>
    <row r="84">
      <c r="A84" s="2" t="s">
        <v>463</v>
      </c>
      <c r="B84" s="2">
        <v>2.0</v>
      </c>
      <c r="C84" s="4" t="str">
        <f t="shared" si="1"/>
        <v>gallo</v>
      </c>
      <c r="D84" s="4" t="s">
        <v>468</v>
      </c>
      <c r="E84" s="4" t="s">
        <v>481</v>
      </c>
      <c r="F84" s="2" t="s">
        <v>438</v>
      </c>
      <c r="G84" s="2" t="str">
        <f>vlookup(D84,'mussel-ID_key'!A:B,2,false)</f>
        <v>gallo-DO-1</v>
      </c>
      <c r="H84" s="8" t="str">
        <f t="shared" si="2"/>
        <v>gallo-DO-1-mantle</v>
      </c>
      <c r="I84" s="4">
        <f>vlookup(D84,'mussel-ID_key'!A:C,3,false)</f>
        <v>0</v>
      </c>
      <c r="J84" s="2" t="s">
        <v>463</v>
      </c>
      <c r="L84" s="5"/>
      <c r="M84" s="5"/>
    </row>
    <row r="85">
      <c r="A85" s="2" t="s">
        <v>463</v>
      </c>
      <c r="B85" s="2">
        <v>2.0</v>
      </c>
      <c r="C85" s="4" t="str">
        <f t="shared" si="1"/>
        <v>gallo</v>
      </c>
      <c r="D85" s="4" t="s">
        <v>470</v>
      </c>
      <c r="E85" s="4" t="s">
        <v>482</v>
      </c>
      <c r="F85" s="2" t="s">
        <v>438</v>
      </c>
      <c r="G85" s="2" t="str">
        <f>vlookup(D85,'mussel-ID_key'!A:B,2,false)</f>
        <v>gallo-DO-1</v>
      </c>
      <c r="H85" s="8" t="str">
        <f t="shared" si="2"/>
        <v>gallo-DO-1-mantle</v>
      </c>
      <c r="I85" s="4">
        <f>vlookup(D85,'mussel-ID_key'!A:C,3,false)</f>
        <v>0</v>
      </c>
      <c r="J85" s="2" t="s">
        <v>463</v>
      </c>
      <c r="L85" s="5"/>
      <c r="M85" s="5"/>
    </row>
    <row r="86">
      <c r="A86" s="2" t="s">
        <v>463</v>
      </c>
      <c r="B86" s="2">
        <v>2.0</v>
      </c>
      <c r="C86" s="4" t="str">
        <f t="shared" si="1"/>
        <v>gallo</v>
      </c>
      <c r="D86" s="4" t="s">
        <v>472</v>
      </c>
      <c r="E86" s="4" t="s">
        <v>483</v>
      </c>
      <c r="F86" s="2" t="s">
        <v>438</v>
      </c>
      <c r="G86" s="2" t="str">
        <f>vlookup(D86,'mussel-ID_key'!A:B,2,false)</f>
        <v>gallo-DO-1</v>
      </c>
      <c r="H86" s="8" t="str">
        <f t="shared" si="2"/>
        <v>gallo-DO-1-mantle</v>
      </c>
      <c r="I86" s="4">
        <f>vlookup(D86,'mussel-ID_key'!A:C,3,false)</f>
        <v>0</v>
      </c>
      <c r="J86" s="2" t="s">
        <v>463</v>
      </c>
      <c r="L86" s="5"/>
      <c r="M86" s="5"/>
    </row>
    <row r="87">
      <c r="A87" s="2" t="s">
        <v>55</v>
      </c>
      <c r="B87" s="2">
        <v>4.0</v>
      </c>
      <c r="C87" s="4" t="str">
        <f t="shared" si="1"/>
        <v>gallo</v>
      </c>
      <c r="D87" s="5" t="s">
        <v>98</v>
      </c>
      <c r="E87" s="5" t="s">
        <v>97</v>
      </c>
      <c r="F87" s="2" t="s">
        <v>14</v>
      </c>
      <c r="G87" s="2" t="s">
        <v>93</v>
      </c>
      <c r="H87" s="8" t="str">
        <f t="shared" si="2"/>
        <v>gallo-DO-3-foot</v>
      </c>
      <c r="I87" s="4">
        <f>vlookup(D87,'mussel-ID_key'!A:C,3,false)</f>
        <v>0</v>
      </c>
      <c r="J87" s="2" t="s">
        <v>55</v>
      </c>
      <c r="L87" s="5"/>
      <c r="M87" s="5"/>
    </row>
    <row r="88">
      <c r="A88" s="2" t="s">
        <v>55</v>
      </c>
      <c r="B88" s="2">
        <v>4.0</v>
      </c>
      <c r="C88" s="4" t="str">
        <f t="shared" si="1"/>
        <v>gallo</v>
      </c>
      <c r="D88" s="5" t="s">
        <v>101</v>
      </c>
      <c r="E88" s="5" t="s">
        <v>100</v>
      </c>
      <c r="F88" s="2" t="s">
        <v>14</v>
      </c>
      <c r="G88" s="2" t="s">
        <v>93</v>
      </c>
      <c r="H88" s="8" t="str">
        <f t="shared" si="2"/>
        <v>gallo-DO-3-foot</v>
      </c>
      <c r="I88" s="4">
        <f>vlookup(D88,'mussel-ID_key'!A:C,3,false)</f>
        <v>0</v>
      </c>
      <c r="J88" s="2" t="s">
        <v>55</v>
      </c>
      <c r="L88" s="5"/>
      <c r="M88" s="5"/>
    </row>
    <row r="89">
      <c r="A89" s="2" t="s">
        <v>55</v>
      </c>
      <c r="B89" s="2">
        <v>4.0</v>
      </c>
      <c r="C89" s="4" t="str">
        <f t="shared" si="1"/>
        <v>gallo</v>
      </c>
      <c r="D89" s="5" t="s">
        <v>92</v>
      </c>
      <c r="E89" s="5" t="s">
        <v>91</v>
      </c>
      <c r="F89" s="2" t="s">
        <v>14</v>
      </c>
      <c r="G89" s="2" t="str">
        <f>vlookup(D89,'mussel-ID_key'!A:B,2,false)</f>
        <v>gallo-DO-3</v>
      </c>
      <c r="H89" s="8" t="str">
        <f t="shared" si="2"/>
        <v>gallo-DO-3-foot</v>
      </c>
      <c r="I89" s="4">
        <f>vlookup(D89,'mussel-ID_key'!A:C,3,false)</f>
        <v>0</v>
      </c>
      <c r="J89" s="2" t="s">
        <v>55</v>
      </c>
      <c r="L89" s="5"/>
      <c r="M89" s="5"/>
    </row>
    <row r="90">
      <c r="A90" s="2" t="s">
        <v>55</v>
      </c>
      <c r="B90" s="2">
        <v>4.0</v>
      </c>
      <c r="C90" s="4" t="str">
        <f t="shared" si="1"/>
        <v>gallo</v>
      </c>
      <c r="D90" s="5" t="s">
        <v>104</v>
      </c>
      <c r="E90" s="5" t="s">
        <v>103</v>
      </c>
      <c r="F90" s="2" t="s">
        <v>14</v>
      </c>
      <c r="G90" s="2" t="str">
        <f>vlookup(D90,'mussel-ID_key'!A:B,2,false)</f>
        <v>gallo-DO-3</v>
      </c>
      <c r="H90" s="8" t="str">
        <f t="shared" si="2"/>
        <v>gallo-DO-3-foot</v>
      </c>
      <c r="I90" s="4">
        <f>vlookup(D90,'mussel-ID_key'!A:C,3,false)</f>
        <v>0</v>
      </c>
      <c r="J90" s="2" t="s">
        <v>55</v>
      </c>
      <c r="L90" s="5"/>
      <c r="M90" s="5"/>
    </row>
    <row r="91">
      <c r="A91" s="2" t="s">
        <v>55</v>
      </c>
      <c r="B91" s="2">
        <v>4.0</v>
      </c>
      <c r="C91" s="4" t="str">
        <f t="shared" si="1"/>
        <v>gallo</v>
      </c>
      <c r="D91" s="5" t="s">
        <v>107</v>
      </c>
      <c r="E91" s="5" t="s">
        <v>106</v>
      </c>
      <c r="F91" s="2" t="s">
        <v>14</v>
      </c>
      <c r="G91" s="2" t="str">
        <f>vlookup(D91,'mussel-ID_key'!A:B,2,false)</f>
        <v>gallo-DO-3</v>
      </c>
      <c r="H91" s="8" t="str">
        <f t="shared" si="2"/>
        <v>gallo-DO-3-foot</v>
      </c>
      <c r="I91" s="4">
        <f>vlookup(D91,'mussel-ID_key'!A:C,3,false)</f>
        <v>0</v>
      </c>
      <c r="J91" s="2" t="s">
        <v>55</v>
      </c>
      <c r="L91" s="5"/>
      <c r="M91" s="5"/>
    </row>
    <row r="92">
      <c r="A92" s="2" t="s">
        <v>55</v>
      </c>
      <c r="B92" s="2">
        <v>4.0</v>
      </c>
      <c r="C92" s="4" t="str">
        <f t="shared" si="1"/>
        <v>gallo</v>
      </c>
      <c r="D92" s="5" t="s">
        <v>110</v>
      </c>
      <c r="E92" s="5" t="s">
        <v>109</v>
      </c>
      <c r="F92" s="2" t="s">
        <v>14</v>
      </c>
      <c r="G92" s="2" t="str">
        <f>vlookup(D92,'mussel-ID_key'!A:B,2,false)</f>
        <v>gallo-DO-3</v>
      </c>
      <c r="H92" s="8" t="str">
        <f t="shared" si="2"/>
        <v>gallo-DO-3-foot</v>
      </c>
      <c r="I92" s="4">
        <f>vlookup(D92,'mussel-ID_key'!A:C,3,false)</f>
        <v>0</v>
      </c>
      <c r="J92" s="2" t="s">
        <v>55</v>
      </c>
      <c r="L92" s="5"/>
      <c r="M92" s="5"/>
    </row>
    <row r="93">
      <c r="A93" s="2" t="s">
        <v>55</v>
      </c>
      <c r="B93" s="2">
        <v>4.0</v>
      </c>
      <c r="C93" s="4" t="str">
        <f t="shared" si="1"/>
        <v>gallo</v>
      </c>
      <c r="D93" s="5" t="s">
        <v>113</v>
      </c>
      <c r="E93" s="5" t="s">
        <v>112</v>
      </c>
      <c r="F93" s="2" t="s">
        <v>14</v>
      </c>
      <c r="G93" s="2" t="str">
        <f>vlookup(D93,'mussel-ID_key'!A:B,2,false)</f>
        <v>gallo-DO-3</v>
      </c>
      <c r="H93" s="8" t="str">
        <f t="shared" si="2"/>
        <v>gallo-DO-3-foot</v>
      </c>
      <c r="I93" s="4">
        <f>vlookup(D93,'mussel-ID_key'!A:C,3,false)</f>
        <v>0</v>
      </c>
      <c r="J93" s="2" t="s">
        <v>55</v>
      </c>
      <c r="L93" s="5"/>
      <c r="M93" s="5"/>
    </row>
    <row r="94">
      <c r="A94" s="2" t="s">
        <v>55</v>
      </c>
      <c r="B94" s="2">
        <v>4.0</v>
      </c>
      <c r="C94" s="4" t="str">
        <f t="shared" si="1"/>
        <v>gallo</v>
      </c>
      <c r="D94" s="5" t="s">
        <v>119</v>
      </c>
      <c r="E94" s="5" t="s">
        <v>118</v>
      </c>
      <c r="F94" s="2" t="s">
        <v>14</v>
      </c>
      <c r="G94" s="2" t="str">
        <f>vlookup(D94,'mussel-ID_key'!A:B,2,false)</f>
        <v>gallo-DO-3</v>
      </c>
      <c r="H94" s="8" t="str">
        <f t="shared" si="2"/>
        <v>gallo-DO-3-foot</v>
      </c>
      <c r="I94" s="4">
        <f>vlookup(D94,'mussel-ID_key'!A:C,3,false)</f>
        <v>0</v>
      </c>
      <c r="J94" s="2" t="s">
        <v>55</v>
      </c>
      <c r="L94" s="5"/>
      <c r="M94" s="5"/>
    </row>
    <row r="95">
      <c r="A95" s="2" t="s">
        <v>55</v>
      </c>
      <c r="B95" s="2">
        <v>4.0</v>
      </c>
      <c r="C95" s="4" t="str">
        <f t="shared" si="1"/>
        <v>gallo</v>
      </c>
      <c r="D95" s="5" t="s">
        <v>122</v>
      </c>
      <c r="E95" s="5" t="s">
        <v>121</v>
      </c>
      <c r="F95" s="2" t="s">
        <v>14</v>
      </c>
      <c r="G95" s="2" t="str">
        <f>vlookup(D95,'mussel-ID_key'!A:B,2,false)</f>
        <v>gallo-DO-3</v>
      </c>
      <c r="H95" s="8" t="str">
        <f t="shared" si="2"/>
        <v>gallo-DO-3-foot</v>
      </c>
      <c r="I95" s="4">
        <f>vlookup(D95,'mussel-ID_key'!A:C,3,false)</f>
        <v>0</v>
      </c>
      <c r="J95" s="2" t="s">
        <v>55</v>
      </c>
      <c r="L95" s="5"/>
      <c r="M95" s="5"/>
    </row>
    <row r="96">
      <c r="A96" s="2" t="s">
        <v>55</v>
      </c>
      <c r="B96" s="2">
        <v>4.0</v>
      </c>
      <c r="C96" s="4" t="str">
        <f t="shared" si="1"/>
        <v>gallo</v>
      </c>
      <c r="D96" s="5" t="s">
        <v>122</v>
      </c>
      <c r="E96" s="5" t="s">
        <v>121</v>
      </c>
      <c r="F96" s="2" t="s">
        <v>14</v>
      </c>
      <c r="G96" s="2" t="str">
        <f>vlookup(D96,'mussel-ID_key'!A:B,2,false)</f>
        <v>gallo-DO-3</v>
      </c>
      <c r="H96" s="8" t="str">
        <f t="shared" si="2"/>
        <v>gallo-DO-3-foot</v>
      </c>
      <c r="I96" s="4">
        <f>vlookup(D96,'mussel-ID_key'!A:C,3,false)</f>
        <v>0</v>
      </c>
      <c r="J96" s="2" t="s">
        <v>55</v>
      </c>
      <c r="L96" s="5"/>
      <c r="M96" s="5"/>
    </row>
    <row r="97">
      <c r="A97" s="2" t="s">
        <v>55</v>
      </c>
      <c r="B97" s="2">
        <v>4.0</v>
      </c>
      <c r="C97" s="4" t="str">
        <f t="shared" si="1"/>
        <v>gallo</v>
      </c>
      <c r="D97" s="5" t="s">
        <v>125</v>
      </c>
      <c r="E97" s="5" t="s">
        <v>124</v>
      </c>
      <c r="F97" s="2" t="s">
        <v>14</v>
      </c>
      <c r="G97" s="2" t="str">
        <f>vlookup(D97,'mussel-ID_key'!A:B,2,false)</f>
        <v>gallo-DO-3</v>
      </c>
      <c r="H97" s="8" t="str">
        <f t="shared" si="2"/>
        <v>gallo-DO-3-foot</v>
      </c>
      <c r="I97" s="4">
        <f>vlookup(D97,'mussel-ID_key'!A:C,3,false)</f>
        <v>0</v>
      </c>
      <c r="J97" s="2" t="s">
        <v>55</v>
      </c>
      <c r="L97" s="5"/>
      <c r="M97" s="5"/>
    </row>
    <row r="98">
      <c r="A98" s="2" t="s">
        <v>55</v>
      </c>
      <c r="B98" s="2">
        <v>4.0</v>
      </c>
      <c r="C98" s="4" t="str">
        <f t="shared" si="1"/>
        <v>gallo</v>
      </c>
      <c r="D98" s="5" t="s">
        <v>128</v>
      </c>
      <c r="E98" s="5" t="s">
        <v>127</v>
      </c>
      <c r="F98" s="2" t="s">
        <v>14</v>
      </c>
      <c r="G98" s="2" t="str">
        <f>vlookup(D98,'mussel-ID_key'!A:B,2,false)</f>
        <v>gallo-DO-3</v>
      </c>
      <c r="H98" s="8" t="str">
        <f t="shared" si="2"/>
        <v>gallo-DO-3-foot</v>
      </c>
      <c r="I98" s="4">
        <f>vlookup(D98,'mussel-ID_key'!A:C,3,false)</f>
        <v>0</v>
      </c>
      <c r="J98" s="2" t="s">
        <v>55</v>
      </c>
      <c r="L98" s="5"/>
      <c r="M98" s="5"/>
    </row>
    <row r="99">
      <c r="A99" s="2" t="s">
        <v>55</v>
      </c>
      <c r="B99" s="2">
        <v>4.0</v>
      </c>
      <c r="C99" s="4" t="str">
        <f t="shared" si="1"/>
        <v>gallo</v>
      </c>
      <c r="D99" s="5" t="s">
        <v>131</v>
      </c>
      <c r="E99" s="5" t="s">
        <v>130</v>
      </c>
      <c r="F99" s="2" t="s">
        <v>14</v>
      </c>
      <c r="G99" s="2" t="str">
        <f>vlookup(D99,'mussel-ID_key'!A:B,2,false)</f>
        <v>gallo-DO-3</v>
      </c>
      <c r="H99" s="8" t="str">
        <f t="shared" si="2"/>
        <v>gallo-DO-3-foot</v>
      </c>
      <c r="I99" s="4">
        <f>vlookup(D99,'mussel-ID_key'!A:C,3,false)</f>
        <v>0</v>
      </c>
      <c r="J99" s="2" t="s">
        <v>55</v>
      </c>
      <c r="L99" s="5"/>
      <c r="M99" s="5"/>
    </row>
    <row r="100">
      <c r="A100" s="2" t="s">
        <v>60</v>
      </c>
      <c r="B100" s="2">
        <v>3.0</v>
      </c>
      <c r="C100" s="4" t="str">
        <f t="shared" si="1"/>
        <v>gallo</v>
      </c>
      <c r="D100" s="5" t="str">
        <f t="shared" ref="D100:D112" si="6">left(E100,3)</f>
        <v>G29</v>
      </c>
      <c r="E100" s="5" t="s">
        <v>99</v>
      </c>
      <c r="F100" s="5" t="s">
        <v>18</v>
      </c>
      <c r="G100" s="2" t="s">
        <v>93</v>
      </c>
      <c r="H100" s="8" t="str">
        <f t="shared" si="2"/>
        <v>gallo-DO-3-gill</v>
      </c>
      <c r="I100" s="4">
        <f>vlookup(D100,'mussel-ID_key'!A:C,3,false)</f>
        <v>0</v>
      </c>
      <c r="J100" s="2" t="s">
        <v>60</v>
      </c>
      <c r="L100" s="5"/>
      <c r="M100" s="5"/>
    </row>
    <row r="101">
      <c r="A101" s="2" t="s">
        <v>60</v>
      </c>
      <c r="B101" s="2">
        <v>3.0</v>
      </c>
      <c r="C101" s="4" t="str">
        <f t="shared" si="1"/>
        <v>gallo</v>
      </c>
      <c r="D101" s="5" t="str">
        <f t="shared" si="6"/>
        <v>G30</v>
      </c>
      <c r="E101" s="5" t="s">
        <v>102</v>
      </c>
      <c r="F101" s="5" t="s">
        <v>18</v>
      </c>
      <c r="G101" s="2" t="s">
        <v>93</v>
      </c>
      <c r="H101" s="8" t="str">
        <f t="shared" si="2"/>
        <v>gallo-DO-3-gill</v>
      </c>
      <c r="I101" s="4">
        <f>vlookup(D101,'mussel-ID_key'!A:C,3,false)</f>
        <v>0</v>
      </c>
      <c r="J101" s="2" t="s">
        <v>60</v>
      </c>
      <c r="L101" s="5"/>
      <c r="M101" s="5"/>
    </row>
    <row r="102">
      <c r="A102" s="2" t="s">
        <v>60</v>
      </c>
      <c r="B102" s="2">
        <v>3.0</v>
      </c>
      <c r="C102" s="4" t="str">
        <f t="shared" si="1"/>
        <v>gallo</v>
      </c>
      <c r="D102" s="5" t="str">
        <f t="shared" si="6"/>
        <v>G28</v>
      </c>
      <c r="E102" s="5" t="s">
        <v>95</v>
      </c>
      <c r="F102" s="5" t="s">
        <v>18</v>
      </c>
      <c r="G102" s="2" t="str">
        <f>vlookup(D102,'mussel-ID_key'!A:B,2,false)</f>
        <v>gallo-DO-3</v>
      </c>
      <c r="H102" s="8" t="str">
        <f t="shared" si="2"/>
        <v>gallo-DO-3-gill</v>
      </c>
      <c r="I102" s="4">
        <f>vlookup(D102,'mussel-ID_key'!A:C,3,false)</f>
        <v>0</v>
      </c>
      <c r="J102" s="2" t="s">
        <v>60</v>
      </c>
      <c r="L102" s="5"/>
      <c r="M102" s="5"/>
    </row>
    <row r="103">
      <c r="A103" s="2" t="s">
        <v>60</v>
      </c>
      <c r="B103" s="2">
        <v>3.0</v>
      </c>
      <c r="C103" s="4" t="str">
        <f t="shared" si="1"/>
        <v>gallo</v>
      </c>
      <c r="D103" s="5" t="str">
        <f t="shared" si="6"/>
        <v>G31</v>
      </c>
      <c r="E103" s="5" t="s">
        <v>105</v>
      </c>
      <c r="F103" s="5" t="s">
        <v>18</v>
      </c>
      <c r="G103" s="2" t="str">
        <f>vlookup(D103,'mussel-ID_key'!A:B,2,false)</f>
        <v>gallo-DO-3</v>
      </c>
      <c r="H103" s="8" t="str">
        <f t="shared" si="2"/>
        <v>gallo-DO-3-gill</v>
      </c>
      <c r="I103" s="4">
        <f>vlookup(D103,'mussel-ID_key'!A:C,3,false)</f>
        <v>0</v>
      </c>
      <c r="J103" s="2" t="s">
        <v>60</v>
      </c>
      <c r="L103" s="5"/>
      <c r="M103" s="5"/>
    </row>
    <row r="104">
      <c r="A104" s="2" t="s">
        <v>60</v>
      </c>
      <c r="B104" s="2">
        <v>3.0</v>
      </c>
      <c r="C104" s="4" t="str">
        <f t="shared" si="1"/>
        <v>gallo</v>
      </c>
      <c r="D104" s="5" t="str">
        <f t="shared" si="6"/>
        <v>G32</v>
      </c>
      <c r="E104" s="5" t="s">
        <v>108</v>
      </c>
      <c r="F104" s="5" t="s">
        <v>18</v>
      </c>
      <c r="G104" s="2" t="str">
        <f>vlookup(D104,'mussel-ID_key'!A:B,2,false)</f>
        <v>gallo-DO-3</v>
      </c>
      <c r="H104" s="8" t="str">
        <f t="shared" si="2"/>
        <v>gallo-DO-3-gill</v>
      </c>
      <c r="I104" s="4">
        <f>vlookup(D104,'mussel-ID_key'!A:C,3,false)</f>
        <v>0</v>
      </c>
      <c r="J104" s="2" t="s">
        <v>60</v>
      </c>
      <c r="L104" s="5"/>
      <c r="M104" s="5"/>
    </row>
    <row r="105">
      <c r="A105" s="2" t="s">
        <v>60</v>
      </c>
      <c r="B105" s="2">
        <v>3.0</v>
      </c>
      <c r="C105" s="4" t="str">
        <f t="shared" si="1"/>
        <v>gallo</v>
      </c>
      <c r="D105" s="5" t="str">
        <f t="shared" si="6"/>
        <v>G33</v>
      </c>
      <c r="E105" s="5" t="s">
        <v>111</v>
      </c>
      <c r="F105" s="5" t="s">
        <v>18</v>
      </c>
      <c r="G105" s="2" t="str">
        <f>vlookup(D105,'mussel-ID_key'!A:B,2,false)</f>
        <v>gallo-DO-3</v>
      </c>
      <c r="H105" s="8" t="str">
        <f t="shared" si="2"/>
        <v>gallo-DO-3-gill</v>
      </c>
      <c r="I105" s="4">
        <f>vlookup(D105,'mussel-ID_key'!A:C,3,false)</f>
        <v>0</v>
      </c>
      <c r="J105" s="2" t="s">
        <v>60</v>
      </c>
      <c r="L105" s="5"/>
      <c r="M105" s="5"/>
    </row>
    <row r="106">
      <c r="A106" s="2" t="s">
        <v>60</v>
      </c>
      <c r="B106" s="2">
        <v>3.0</v>
      </c>
      <c r="C106" s="4" t="str">
        <f t="shared" si="1"/>
        <v>gallo</v>
      </c>
      <c r="D106" s="5" t="str">
        <f t="shared" si="6"/>
        <v>G34</v>
      </c>
      <c r="E106" s="5" t="s">
        <v>114</v>
      </c>
      <c r="F106" s="5" t="s">
        <v>18</v>
      </c>
      <c r="G106" s="2" t="str">
        <f>vlookup(D106,'mussel-ID_key'!A:B,2,false)</f>
        <v>gallo-DO-3</v>
      </c>
      <c r="H106" s="8" t="str">
        <f t="shared" si="2"/>
        <v>gallo-DO-3-gill</v>
      </c>
      <c r="I106" s="4">
        <f>vlookup(D106,'mussel-ID_key'!A:C,3,false)</f>
        <v>0</v>
      </c>
      <c r="J106" s="2" t="s">
        <v>60</v>
      </c>
      <c r="L106" s="5"/>
      <c r="M106" s="5"/>
    </row>
    <row r="107">
      <c r="A107" s="2" t="s">
        <v>60</v>
      </c>
      <c r="B107" s="2">
        <v>3.0</v>
      </c>
      <c r="C107" s="4" t="str">
        <f t="shared" si="1"/>
        <v>gallo</v>
      </c>
      <c r="D107" s="5" t="str">
        <f t="shared" si="6"/>
        <v>G66</v>
      </c>
      <c r="E107" s="5" t="s">
        <v>120</v>
      </c>
      <c r="F107" s="5" t="s">
        <v>18</v>
      </c>
      <c r="G107" s="2" t="str">
        <f>vlookup(D107,'mussel-ID_key'!A:B,2,false)</f>
        <v>gallo-DO-3</v>
      </c>
      <c r="H107" s="8" t="str">
        <f t="shared" si="2"/>
        <v>gallo-DO-3-gill</v>
      </c>
      <c r="I107" s="4">
        <f>vlookup(D107,'mussel-ID_key'!A:C,3,false)</f>
        <v>0</v>
      </c>
      <c r="J107" s="2" t="s">
        <v>60</v>
      </c>
      <c r="L107" s="5"/>
      <c r="M107" s="5"/>
    </row>
    <row r="108">
      <c r="A108" s="2" t="s">
        <v>60</v>
      </c>
      <c r="B108" s="2">
        <v>3.0</v>
      </c>
      <c r="C108" s="4" t="str">
        <f t="shared" si="1"/>
        <v>gallo</v>
      </c>
      <c r="D108" s="5" t="str">
        <f t="shared" si="6"/>
        <v>G67</v>
      </c>
      <c r="E108" s="5" t="s">
        <v>123</v>
      </c>
      <c r="F108" s="5" t="s">
        <v>18</v>
      </c>
      <c r="G108" s="2" t="str">
        <f>vlookup(D108,'mussel-ID_key'!A:B,2,false)</f>
        <v>gallo-DO-3</v>
      </c>
      <c r="H108" s="8" t="str">
        <f t="shared" si="2"/>
        <v>gallo-DO-3-gill</v>
      </c>
      <c r="I108" s="4">
        <f>vlookup(D108,'mussel-ID_key'!A:C,3,false)</f>
        <v>0</v>
      </c>
      <c r="J108" s="2" t="s">
        <v>60</v>
      </c>
      <c r="L108" s="5"/>
      <c r="M108" s="5"/>
    </row>
    <row r="109">
      <c r="A109" s="2" t="s">
        <v>60</v>
      </c>
      <c r="B109" s="2">
        <v>3.0</v>
      </c>
      <c r="C109" s="4" t="str">
        <f t="shared" si="1"/>
        <v>gallo</v>
      </c>
      <c r="D109" s="5" t="str">
        <f t="shared" si="6"/>
        <v>G68</v>
      </c>
      <c r="E109" s="5" t="s">
        <v>126</v>
      </c>
      <c r="F109" s="5" t="s">
        <v>18</v>
      </c>
      <c r="G109" s="2" t="str">
        <f>vlookup(D109,'mussel-ID_key'!A:B,2,false)</f>
        <v>gallo-DO-3</v>
      </c>
      <c r="H109" s="8" t="str">
        <f t="shared" si="2"/>
        <v>gallo-DO-3-gill</v>
      </c>
      <c r="I109" s="4">
        <f>vlookup(D109,'mussel-ID_key'!A:C,3,false)</f>
        <v>0</v>
      </c>
      <c r="J109" s="2" t="s">
        <v>60</v>
      </c>
      <c r="L109" s="5"/>
      <c r="M109" s="5"/>
    </row>
    <row r="110">
      <c r="A110" s="2" t="s">
        <v>60</v>
      </c>
      <c r="B110" s="2">
        <v>3.0</v>
      </c>
      <c r="C110" s="4" t="str">
        <f t="shared" si="1"/>
        <v>gallo</v>
      </c>
      <c r="D110" s="5" t="str">
        <f t="shared" si="6"/>
        <v>G69</v>
      </c>
      <c r="E110" s="5" t="s">
        <v>129</v>
      </c>
      <c r="F110" s="5" t="s">
        <v>18</v>
      </c>
      <c r="G110" s="2" t="str">
        <f>vlookup(D110,'mussel-ID_key'!A:B,2,false)</f>
        <v>gallo-DO-3</v>
      </c>
      <c r="H110" s="8" t="str">
        <f t="shared" si="2"/>
        <v>gallo-DO-3-gill</v>
      </c>
      <c r="I110" s="4">
        <f>vlookup(D110,'mussel-ID_key'!A:C,3,false)</f>
        <v>0</v>
      </c>
      <c r="J110" s="2" t="s">
        <v>60</v>
      </c>
      <c r="L110" s="5"/>
      <c r="M110" s="5"/>
    </row>
    <row r="111">
      <c r="A111" s="2" t="s">
        <v>60</v>
      </c>
      <c r="B111" s="2">
        <v>3.0</v>
      </c>
      <c r="C111" s="4" t="str">
        <f t="shared" si="1"/>
        <v>gallo</v>
      </c>
      <c r="D111" s="5" t="str">
        <f t="shared" si="6"/>
        <v>G70</v>
      </c>
      <c r="E111" s="5" t="s">
        <v>132</v>
      </c>
      <c r="F111" s="5" t="s">
        <v>18</v>
      </c>
      <c r="G111" s="2" t="str">
        <f>vlookup(D111,'mussel-ID_key'!A:B,2,false)</f>
        <v>gallo-DO-3</v>
      </c>
      <c r="H111" s="8" t="str">
        <f t="shared" si="2"/>
        <v>gallo-DO-3-gill</v>
      </c>
      <c r="I111" s="4">
        <f>vlookup(D111,'mussel-ID_key'!A:C,3,false)</f>
        <v>0</v>
      </c>
      <c r="J111" s="2" t="s">
        <v>60</v>
      </c>
      <c r="L111" s="5"/>
      <c r="M111" s="5"/>
    </row>
    <row r="112">
      <c r="A112" s="2" t="s">
        <v>60</v>
      </c>
      <c r="B112" s="2">
        <v>3.0</v>
      </c>
      <c r="C112" s="4" t="str">
        <f t="shared" si="1"/>
        <v>gallo</v>
      </c>
      <c r="D112" s="5" t="str">
        <f t="shared" si="6"/>
        <v>G30</v>
      </c>
      <c r="E112" s="5" t="s">
        <v>484</v>
      </c>
      <c r="F112" s="5" t="s">
        <v>438</v>
      </c>
      <c r="G112" s="2" t="s">
        <v>93</v>
      </c>
      <c r="H112" s="8" t="str">
        <f t="shared" si="2"/>
        <v>gallo-DO-3-mantle</v>
      </c>
      <c r="I112" s="4">
        <f>vlookup(D112,'mussel-ID_key'!A:C,3,false)</f>
        <v>0</v>
      </c>
      <c r="J112" s="2" t="s">
        <v>60</v>
      </c>
      <c r="L112" s="5"/>
      <c r="M112" s="5"/>
    </row>
    <row r="113">
      <c r="A113" s="2" t="s">
        <v>55</v>
      </c>
      <c r="B113" s="2">
        <v>4.0</v>
      </c>
      <c r="C113" s="4" t="str">
        <f t="shared" si="1"/>
        <v>gallo</v>
      </c>
      <c r="D113" s="5" t="s">
        <v>98</v>
      </c>
      <c r="E113" s="5" t="s">
        <v>485</v>
      </c>
      <c r="F113" s="2" t="s">
        <v>438</v>
      </c>
      <c r="G113" s="2" t="s">
        <v>93</v>
      </c>
      <c r="H113" s="8" t="str">
        <f t="shared" si="2"/>
        <v>gallo-DO-3-mantle</v>
      </c>
      <c r="I113" s="4">
        <f>vlookup(D113,'mussel-ID_key'!A:C,3,false)</f>
        <v>0</v>
      </c>
      <c r="J113" s="2" t="s">
        <v>55</v>
      </c>
      <c r="L113" s="5"/>
      <c r="M113" s="5"/>
    </row>
    <row r="114">
      <c r="A114" s="2" t="s">
        <v>60</v>
      </c>
      <c r="B114" s="2">
        <v>3.0</v>
      </c>
      <c r="C114" s="4" t="str">
        <f t="shared" si="1"/>
        <v>gallo</v>
      </c>
      <c r="D114" s="5" t="str">
        <f t="shared" ref="D114:D118" si="7">left(E114,3)</f>
        <v>G33</v>
      </c>
      <c r="E114" s="5" t="s">
        <v>486</v>
      </c>
      <c r="F114" s="5" t="s">
        <v>438</v>
      </c>
      <c r="G114" s="2" t="str">
        <f>vlookup(D114,'mussel-ID_key'!A:B,2,false)</f>
        <v>gallo-DO-3</v>
      </c>
      <c r="H114" s="8" t="str">
        <f t="shared" si="2"/>
        <v>gallo-DO-3-mantle</v>
      </c>
      <c r="I114" s="4">
        <f>vlookup(D114,'mussel-ID_key'!A:C,3,false)</f>
        <v>0</v>
      </c>
      <c r="J114" s="2" t="s">
        <v>60</v>
      </c>
      <c r="L114" s="5"/>
      <c r="M114" s="5"/>
    </row>
    <row r="115">
      <c r="A115" s="2" t="s">
        <v>60</v>
      </c>
      <c r="B115" s="2">
        <v>3.0</v>
      </c>
      <c r="C115" s="4" t="str">
        <f t="shared" si="1"/>
        <v>gallo</v>
      </c>
      <c r="D115" s="5" t="str">
        <f t="shared" si="7"/>
        <v>G34</v>
      </c>
      <c r="E115" s="5" t="s">
        <v>487</v>
      </c>
      <c r="F115" s="5" t="s">
        <v>438</v>
      </c>
      <c r="G115" s="2" t="str">
        <f>vlookup(D115,'mussel-ID_key'!A:B,2,false)</f>
        <v>gallo-DO-3</v>
      </c>
      <c r="H115" s="8" t="str">
        <f t="shared" si="2"/>
        <v>gallo-DO-3-mantle</v>
      </c>
      <c r="I115" s="4">
        <f>vlookup(D115,'mussel-ID_key'!A:C,3,false)</f>
        <v>0</v>
      </c>
      <c r="J115" s="2" t="s">
        <v>60</v>
      </c>
      <c r="L115" s="5"/>
      <c r="M115" s="5"/>
    </row>
    <row r="116">
      <c r="A116" s="2" t="s">
        <v>60</v>
      </c>
      <c r="B116" s="2">
        <v>3.0</v>
      </c>
      <c r="C116" s="4" t="str">
        <f t="shared" si="1"/>
        <v>gallo</v>
      </c>
      <c r="D116" s="5" t="str">
        <f t="shared" si="7"/>
        <v>G66</v>
      </c>
      <c r="E116" s="5" t="s">
        <v>488</v>
      </c>
      <c r="F116" s="5" t="s">
        <v>438</v>
      </c>
      <c r="G116" s="2" t="str">
        <f>vlookup(D116,'mussel-ID_key'!A:B,2,false)</f>
        <v>gallo-DO-3</v>
      </c>
      <c r="H116" s="8" t="str">
        <f t="shared" si="2"/>
        <v>gallo-DO-3-mantle</v>
      </c>
      <c r="I116" s="4">
        <f>vlookup(D116,'mussel-ID_key'!A:C,3,false)</f>
        <v>0</v>
      </c>
      <c r="J116" s="2" t="s">
        <v>60</v>
      </c>
      <c r="L116" s="5"/>
      <c r="M116" s="5"/>
    </row>
    <row r="117">
      <c r="A117" s="2" t="s">
        <v>60</v>
      </c>
      <c r="B117" s="2">
        <v>3.0</v>
      </c>
      <c r="C117" s="4" t="str">
        <f t="shared" si="1"/>
        <v>gallo</v>
      </c>
      <c r="D117" s="5" t="str">
        <f t="shared" si="7"/>
        <v>G69</v>
      </c>
      <c r="E117" s="5" t="s">
        <v>489</v>
      </c>
      <c r="F117" s="5" t="s">
        <v>438</v>
      </c>
      <c r="G117" s="2" t="str">
        <f>vlookup(D117,'mussel-ID_key'!A:B,2,false)</f>
        <v>gallo-DO-3</v>
      </c>
      <c r="H117" s="8" t="str">
        <f t="shared" si="2"/>
        <v>gallo-DO-3-mantle</v>
      </c>
      <c r="I117" s="4">
        <f>vlookup(D117,'mussel-ID_key'!A:C,3,false)</f>
        <v>0</v>
      </c>
      <c r="J117" s="2" t="s">
        <v>60</v>
      </c>
      <c r="L117" s="5"/>
      <c r="M117" s="5"/>
    </row>
    <row r="118">
      <c r="A118" s="2" t="s">
        <v>60</v>
      </c>
      <c r="B118" s="2">
        <v>3.0</v>
      </c>
      <c r="C118" s="4" t="str">
        <f t="shared" si="1"/>
        <v>gallo</v>
      </c>
      <c r="D118" s="5" t="str">
        <f t="shared" si="7"/>
        <v>G70</v>
      </c>
      <c r="E118" s="5" t="s">
        <v>490</v>
      </c>
      <c r="F118" s="5" t="s">
        <v>438</v>
      </c>
      <c r="G118" s="2" t="str">
        <f>vlookup(D118,'mussel-ID_key'!A:B,2,false)</f>
        <v>gallo-DO-3</v>
      </c>
      <c r="H118" s="8" t="str">
        <f t="shared" si="2"/>
        <v>gallo-DO-3-mantle</v>
      </c>
      <c r="I118" s="4">
        <f>vlookup(D118,'mussel-ID_key'!A:C,3,false)</f>
        <v>0</v>
      </c>
      <c r="J118" s="2" t="s">
        <v>60</v>
      </c>
      <c r="L118" s="5"/>
      <c r="M118" s="5"/>
    </row>
    <row r="119">
      <c r="A119" s="2" t="s">
        <v>55</v>
      </c>
      <c r="B119" s="2">
        <v>4.0</v>
      </c>
      <c r="C119" s="4" t="str">
        <f t="shared" si="1"/>
        <v>gallo</v>
      </c>
      <c r="D119" s="5" t="s">
        <v>92</v>
      </c>
      <c r="E119" s="5" t="s">
        <v>491</v>
      </c>
      <c r="F119" s="2" t="s">
        <v>438</v>
      </c>
      <c r="G119" s="2" t="str">
        <f>vlookup(D119,'mussel-ID_key'!A:B,2,false)</f>
        <v>gallo-DO-3</v>
      </c>
      <c r="H119" s="8" t="str">
        <f t="shared" si="2"/>
        <v>gallo-DO-3-mantle</v>
      </c>
      <c r="I119" s="4">
        <f>vlookup(D119,'mussel-ID_key'!A:C,3,false)</f>
        <v>0</v>
      </c>
      <c r="J119" s="2" t="s">
        <v>55</v>
      </c>
      <c r="L119" s="5"/>
      <c r="M119" s="5"/>
    </row>
    <row r="120">
      <c r="A120" s="2" t="s">
        <v>55</v>
      </c>
      <c r="B120" s="2">
        <v>4.0</v>
      </c>
      <c r="C120" s="4" t="str">
        <f t="shared" si="1"/>
        <v>gallo</v>
      </c>
      <c r="D120" s="5" t="s">
        <v>104</v>
      </c>
      <c r="E120" s="5" t="s">
        <v>492</v>
      </c>
      <c r="F120" s="2" t="s">
        <v>438</v>
      </c>
      <c r="G120" s="2" t="str">
        <f>vlookup(D120,'mussel-ID_key'!A:B,2,false)</f>
        <v>gallo-DO-3</v>
      </c>
      <c r="H120" s="8" t="str">
        <f t="shared" si="2"/>
        <v>gallo-DO-3-mantle</v>
      </c>
      <c r="I120" s="4">
        <f>vlookup(D120,'mussel-ID_key'!A:C,3,false)</f>
        <v>0</v>
      </c>
      <c r="J120" s="2" t="s">
        <v>55</v>
      </c>
      <c r="L120" s="5"/>
      <c r="M120" s="5"/>
    </row>
    <row r="121">
      <c r="A121" s="2" t="s">
        <v>55</v>
      </c>
      <c r="B121" s="2">
        <v>4.0</v>
      </c>
      <c r="C121" s="4" t="str">
        <f t="shared" si="1"/>
        <v>gallo</v>
      </c>
      <c r="D121" s="5" t="s">
        <v>107</v>
      </c>
      <c r="E121" s="5" t="s">
        <v>493</v>
      </c>
      <c r="F121" s="2" t="s">
        <v>438</v>
      </c>
      <c r="G121" s="2" t="str">
        <f>vlookup(D121,'mussel-ID_key'!A:B,2,false)</f>
        <v>gallo-DO-3</v>
      </c>
      <c r="H121" s="8" t="str">
        <f t="shared" si="2"/>
        <v>gallo-DO-3-mantle</v>
      </c>
      <c r="I121" s="4">
        <f>vlookup(D121,'mussel-ID_key'!A:C,3,false)</f>
        <v>0</v>
      </c>
      <c r="J121" s="2" t="s">
        <v>55</v>
      </c>
      <c r="L121" s="5"/>
      <c r="M121" s="5"/>
    </row>
    <row r="122">
      <c r="A122" s="2" t="s">
        <v>55</v>
      </c>
      <c r="B122" s="2">
        <v>4.0</v>
      </c>
      <c r="C122" s="4" t="str">
        <f t="shared" si="1"/>
        <v>gallo</v>
      </c>
      <c r="D122" s="5" t="s">
        <v>125</v>
      </c>
      <c r="E122" s="5" t="s">
        <v>494</v>
      </c>
      <c r="F122" s="2" t="s">
        <v>438</v>
      </c>
      <c r="G122" s="2" t="str">
        <f>vlookup(D122,'mussel-ID_key'!A:B,2,false)</f>
        <v>gallo-DO-3</v>
      </c>
      <c r="H122" s="8" t="str">
        <f t="shared" si="2"/>
        <v>gallo-DO-3-mantle</v>
      </c>
      <c r="I122" s="4">
        <f>vlookup(D122,'mussel-ID_key'!A:C,3,false)</f>
        <v>0</v>
      </c>
      <c r="J122" s="2" t="s">
        <v>55</v>
      </c>
      <c r="L122" s="5"/>
      <c r="M122" s="5"/>
    </row>
    <row r="123">
      <c r="A123" s="3" t="s">
        <v>463</v>
      </c>
      <c r="B123" s="2">
        <v>2.0</v>
      </c>
      <c r="C123" s="4" t="str">
        <f t="shared" si="1"/>
        <v>gallo</v>
      </c>
      <c r="D123" s="4" t="s">
        <v>495</v>
      </c>
      <c r="E123" s="4" t="s">
        <v>496</v>
      </c>
      <c r="F123" s="2" t="s">
        <v>14</v>
      </c>
      <c r="G123" s="2" t="str">
        <f>vlookup(D123,'mussel-ID_key'!A:B,2,false)</f>
        <v>gallo-OA-1</v>
      </c>
      <c r="H123" s="8" t="str">
        <f t="shared" si="2"/>
        <v>gallo-OA-1-foot</v>
      </c>
      <c r="I123" s="4">
        <f>vlookup(D123,'mussel-ID_key'!A:C,3,false)</f>
        <v>0</v>
      </c>
      <c r="J123" s="3" t="s">
        <v>463</v>
      </c>
      <c r="L123" s="5"/>
      <c r="M123" s="5"/>
    </row>
    <row r="124">
      <c r="A124" s="3" t="s">
        <v>463</v>
      </c>
      <c r="B124" s="2">
        <v>2.0</v>
      </c>
      <c r="C124" s="4" t="str">
        <f t="shared" si="1"/>
        <v>gallo</v>
      </c>
      <c r="D124" s="4" t="s">
        <v>497</v>
      </c>
      <c r="E124" s="4" t="s">
        <v>498</v>
      </c>
      <c r="F124" s="2" t="s">
        <v>14</v>
      </c>
      <c r="G124" s="2" t="str">
        <f>vlookup(D124,'mussel-ID_key'!A:B,2,false)</f>
        <v>gallo-OA-1</v>
      </c>
      <c r="H124" s="8" t="str">
        <f t="shared" si="2"/>
        <v>gallo-OA-1-foot</v>
      </c>
      <c r="I124" s="4">
        <f>vlookup(D124,'mussel-ID_key'!A:C,3,false)</f>
        <v>0</v>
      </c>
      <c r="J124" s="3" t="s">
        <v>463</v>
      </c>
      <c r="L124" s="5"/>
      <c r="M124" s="5"/>
    </row>
    <row r="125">
      <c r="A125" s="2" t="s">
        <v>463</v>
      </c>
      <c r="B125" s="2">
        <v>2.0</v>
      </c>
      <c r="C125" s="4" t="str">
        <f t="shared" si="1"/>
        <v>gallo</v>
      </c>
      <c r="D125" s="4" t="s">
        <v>499</v>
      </c>
      <c r="E125" s="4" t="s">
        <v>500</v>
      </c>
      <c r="F125" s="2" t="s">
        <v>14</v>
      </c>
      <c r="G125" s="2" t="str">
        <f>vlookup(D125,'mussel-ID_key'!A:B,2,false)</f>
        <v>gallo-OA-1</v>
      </c>
      <c r="H125" s="8" t="str">
        <f t="shared" si="2"/>
        <v>gallo-OA-1-foot</v>
      </c>
      <c r="I125" s="4">
        <f>vlookup(D125,'mussel-ID_key'!A:C,3,false)</f>
        <v>0</v>
      </c>
      <c r="J125" s="2" t="s">
        <v>463</v>
      </c>
      <c r="L125" s="5"/>
      <c r="M125" s="5"/>
    </row>
    <row r="126">
      <c r="A126" s="2" t="s">
        <v>463</v>
      </c>
      <c r="B126" s="2">
        <v>2.0</v>
      </c>
      <c r="C126" s="4" t="str">
        <f t="shared" si="1"/>
        <v>gallo</v>
      </c>
      <c r="D126" s="4" t="s">
        <v>501</v>
      </c>
      <c r="E126" s="4" t="s">
        <v>502</v>
      </c>
      <c r="F126" s="2" t="s">
        <v>14</v>
      </c>
      <c r="G126" s="2" t="str">
        <f>vlookup(D126,'mussel-ID_key'!A:B,2,false)</f>
        <v>gallo-OA-1</v>
      </c>
      <c r="H126" s="8" t="str">
        <f t="shared" si="2"/>
        <v>gallo-OA-1-foot</v>
      </c>
      <c r="I126" s="4">
        <f>vlookup(D126,'mussel-ID_key'!A:C,3,false)</f>
        <v>0</v>
      </c>
      <c r="J126" s="2" t="s">
        <v>463</v>
      </c>
      <c r="L126" s="5"/>
      <c r="M126" s="5"/>
    </row>
    <row r="127">
      <c r="A127" s="2" t="s">
        <v>463</v>
      </c>
      <c r="B127" s="2">
        <v>2.0</v>
      </c>
      <c r="C127" s="4" t="str">
        <f t="shared" si="1"/>
        <v>gallo</v>
      </c>
      <c r="D127" s="4" t="s">
        <v>503</v>
      </c>
      <c r="E127" s="4" t="s">
        <v>504</v>
      </c>
      <c r="F127" s="2" t="s">
        <v>14</v>
      </c>
      <c r="G127" s="2" t="str">
        <f>vlookup(D127,'mussel-ID_key'!A:B,2,false)</f>
        <v>gallo-OA-1</v>
      </c>
      <c r="H127" s="8" t="str">
        <f t="shared" si="2"/>
        <v>gallo-OA-1-foot</v>
      </c>
      <c r="I127" s="4">
        <f>vlookup(D127,'mussel-ID_key'!A:C,3,false)</f>
        <v>0</v>
      </c>
      <c r="J127" s="2" t="s">
        <v>463</v>
      </c>
      <c r="L127" s="5"/>
      <c r="M127" s="5"/>
    </row>
    <row r="128">
      <c r="A128" s="2" t="s">
        <v>463</v>
      </c>
      <c r="B128" s="2">
        <v>2.0</v>
      </c>
      <c r="C128" s="4" t="str">
        <f t="shared" si="1"/>
        <v>gallo</v>
      </c>
      <c r="D128" s="4" t="s">
        <v>495</v>
      </c>
      <c r="E128" s="4" t="s">
        <v>505</v>
      </c>
      <c r="F128" s="2" t="s">
        <v>18</v>
      </c>
      <c r="G128" s="2" t="str">
        <f>vlookup(D128,'mussel-ID_key'!A:B,2,false)</f>
        <v>gallo-OA-1</v>
      </c>
      <c r="H128" s="8" t="str">
        <f t="shared" si="2"/>
        <v>gallo-OA-1-gill</v>
      </c>
      <c r="I128" s="4">
        <f>vlookup(D128,'mussel-ID_key'!A:C,3,false)</f>
        <v>0</v>
      </c>
      <c r="J128" s="2" t="s">
        <v>463</v>
      </c>
      <c r="L128" s="5"/>
      <c r="M128" s="5"/>
    </row>
    <row r="129">
      <c r="A129" s="2" t="s">
        <v>463</v>
      </c>
      <c r="B129" s="2">
        <v>2.0</v>
      </c>
      <c r="C129" s="4" t="str">
        <f t="shared" si="1"/>
        <v>gallo</v>
      </c>
      <c r="D129" s="4" t="s">
        <v>497</v>
      </c>
      <c r="E129" s="4" t="s">
        <v>506</v>
      </c>
      <c r="F129" s="2" t="s">
        <v>18</v>
      </c>
      <c r="G129" s="2" t="str">
        <f>vlookup(D129,'mussel-ID_key'!A:B,2,false)</f>
        <v>gallo-OA-1</v>
      </c>
      <c r="H129" s="8" t="str">
        <f t="shared" si="2"/>
        <v>gallo-OA-1-gill</v>
      </c>
      <c r="I129" s="4">
        <f>vlookup(D129,'mussel-ID_key'!A:C,3,false)</f>
        <v>0</v>
      </c>
      <c r="J129" s="2" t="s">
        <v>463</v>
      </c>
      <c r="L129" s="5"/>
      <c r="M129" s="5"/>
    </row>
    <row r="130">
      <c r="A130" s="2" t="s">
        <v>463</v>
      </c>
      <c r="B130" s="2">
        <v>2.0</v>
      </c>
      <c r="C130" s="4" t="str">
        <f t="shared" si="1"/>
        <v>gallo</v>
      </c>
      <c r="D130" s="4" t="s">
        <v>499</v>
      </c>
      <c r="E130" s="4" t="s">
        <v>507</v>
      </c>
      <c r="F130" s="2" t="s">
        <v>18</v>
      </c>
      <c r="G130" s="2" t="str">
        <f>vlookup(D130,'mussel-ID_key'!A:B,2,false)</f>
        <v>gallo-OA-1</v>
      </c>
      <c r="H130" s="8" t="str">
        <f t="shared" si="2"/>
        <v>gallo-OA-1-gill</v>
      </c>
      <c r="I130" s="4">
        <f>vlookup(D130,'mussel-ID_key'!A:C,3,false)</f>
        <v>0</v>
      </c>
      <c r="J130" s="2" t="s">
        <v>463</v>
      </c>
      <c r="L130" s="5"/>
      <c r="M130" s="5"/>
    </row>
    <row r="131">
      <c r="A131" s="2" t="s">
        <v>463</v>
      </c>
      <c r="B131" s="2">
        <v>2.0</v>
      </c>
      <c r="C131" s="4" t="str">
        <f t="shared" si="1"/>
        <v>gallo</v>
      </c>
      <c r="D131" s="4" t="s">
        <v>501</v>
      </c>
      <c r="E131" s="4" t="s">
        <v>508</v>
      </c>
      <c r="F131" s="2" t="s">
        <v>18</v>
      </c>
      <c r="G131" s="2" t="str">
        <f>vlookup(D131,'mussel-ID_key'!A:B,2,false)</f>
        <v>gallo-OA-1</v>
      </c>
      <c r="H131" s="8" t="str">
        <f t="shared" si="2"/>
        <v>gallo-OA-1-gill</v>
      </c>
      <c r="I131" s="4">
        <f>vlookup(D131,'mussel-ID_key'!A:C,3,false)</f>
        <v>0</v>
      </c>
      <c r="J131" s="2" t="s">
        <v>463</v>
      </c>
      <c r="L131" s="5"/>
      <c r="M131" s="5"/>
    </row>
    <row r="132">
      <c r="A132" s="2" t="s">
        <v>463</v>
      </c>
      <c r="B132" s="2">
        <v>2.0</v>
      </c>
      <c r="C132" s="4" t="str">
        <f t="shared" si="1"/>
        <v>gallo</v>
      </c>
      <c r="D132" s="4" t="s">
        <v>503</v>
      </c>
      <c r="E132" s="4" t="s">
        <v>509</v>
      </c>
      <c r="F132" s="2" t="s">
        <v>18</v>
      </c>
      <c r="G132" s="2" t="str">
        <f>vlookup(D132,'mussel-ID_key'!A:B,2,false)</f>
        <v>gallo-OA-1</v>
      </c>
      <c r="H132" s="8" t="str">
        <f t="shared" si="2"/>
        <v>gallo-OA-1-gill</v>
      </c>
      <c r="I132" s="4">
        <f>vlookup(D132,'mussel-ID_key'!A:C,3,false)</f>
        <v>0</v>
      </c>
      <c r="J132" s="2" t="s">
        <v>463</v>
      </c>
      <c r="L132" s="5"/>
      <c r="M132" s="5"/>
    </row>
    <row r="133">
      <c r="A133" s="2" t="s">
        <v>463</v>
      </c>
      <c r="B133" s="2">
        <v>2.0</v>
      </c>
      <c r="C133" s="4" t="str">
        <f t="shared" si="1"/>
        <v>gallo</v>
      </c>
      <c r="D133" s="4" t="s">
        <v>495</v>
      </c>
      <c r="E133" s="4" t="s">
        <v>510</v>
      </c>
      <c r="F133" s="2" t="s">
        <v>438</v>
      </c>
      <c r="G133" s="2" t="str">
        <f>vlookup(D133,'mussel-ID_key'!A:B,2,false)</f>
        <v>gallo-OA-1</v>
      </c>
      <c r="H133" s="8" t="str">
        <f t="shared" si="2"/>
        <v>gallo-OA-1-mantle</v>
      </c>
      <c r="I133" s="4">
        <f>vlookup(D133,'mussel-ID_key'!A:C,3,false)</f>
        <v>0</v>
      </c>
      <c r="J133" s="2" t="s">
        <v>463</v>
      </c>
      <c r="L133" s="5"/>
      <c r="M133" s="5"/>
    </row>
    <row r="134">
      <c r="A134" s="2" t="s">
        <v>463</v>
      </c>
      <c r="B134" s="2">
        <v>2.0</v>
      </c>
      <c r="C134" s="4" t="str">
        <f t="shared" si="1"/>
        <v>gallo</v>
      </c>
      <c r="D134" s="4" t="s">
        <v>497</v>
      </c>
      <c r="E134" s="4" t="s">
        <v>511</v>
      </c>
      <c r="F134" s="2" t="s">
        <v>438</v>
      </c>
      <c r="G134" s="2" t="str">
        <f>vlookup(D134,'mussel-ID_key'!A:B,2,false)</f>
        <v>gallo-OA-1</v>
      </c>
      <c r="H134" s="8" t="str">
        <f t="shared" si="2"/>
        <v>gallo-OA-1-mantle</v>
      </c>
      <c r="I134" s="4">
        <f>vlookup(D134,'mussel-ID_key'!A:C,3,false)</f>
        <v>0</v>
      </c>
      <c r="J134" s="2" t="s">
        <v>463</v>
      </c>
      <c r="L134" s="5"/>
      <c r="M134" s="5"/>
    </row>
    <row r="135">
      <c r="A135" s="2" t="s">
        <v>463</v>
      </c>
      <c r="B135" s="2">
        <v>2.0</v>
      </c>
      <c r="C135" s="4" t="str">
        <f t="shared" si="1"/>
        <v>gallo</v>
      </c>
      <c r="D135" s="4" t="s">
        <v>499</v>
      </c>
      <c r="E135" s="4" t="s">
        <v>512</v>
      </c>
      <c r="F135" s="2" t="s">
        <v>438</v>
      </c>
      <c r="G135" s="2" t="str">
        <f>vlookup(D135,'mussel-ID_key'!A:B,2,false)</f>
        <v>gallo-OA-1</v>
      </c>
      <c r="H135" s="8" t="str">
        <f t="shared" si="2"/>
        <v>gallo-OA-1-mantle</v>
      </c>
      <c r="I135" s="4">
        <f>vlookup(D135,'mussel-ID_key'!A:C,3,false)</f>
        <v>0</v>
      </c>
      <c r="J135" s="2" t="s">
        <v>463</v>
      </c>
      <c r="L135" s="5"/>
      <c r="M135" s="5"/>
    </row>
    <row r="136">
      <c r="A136" s="2" t="s">
        <v>463</v>
      </c>
      <c r="B136" s="2">
        <v>2.0</v>
      </c>
      <c r="C136" s="4" t="str">
        <f t="shared" si="1"/>
        <v>gallo</v>
      </c>
      <c r="D136" s="4" t="s">
        <v>501</v>
      </c>
      <c r="E136" s="4" t="s">
        <v>513</v>
      </c>
      <c r="F136" s="2" t="s">
        <v>438</v>
      </c>
      <c r="G136" s="2" t="str">
        <f>vlookup(D136,'mussel-ID_key'!A:B,2,false)</f>
        <v>gallo-OA-1</v>
      </c>
      <c r="H136" s="8" t="str">
        <f t="shared" si="2"/>
        <v>gallo-OA-1-mantle</v>
      </c>
      <c r="I136" s="4">
        <f>vlookup(D136,'mussel-ID_key'!A:C,3,false)</f>
        <v>0</v>
      </c>
      <c r="J136" s="2" t="s">
        <v>463</v>
      </c>
      <c r="L136" s="5"/>
      <c r="M136" s="5"/>
    </row>
    <row r="137">
      <c r="A137" s="2" t="s">
        <v>463</v>
      </c>
      <c r="B137" s="2">
        <v>2.0</v>
      </c>
      <c r="C137" s="4" t="str">
        <f t="shared" si="1"/>
        <v>gallo</v>
      </c>
      <c r="D137" s="4" t="s">
        <v>503</v>
      </c>
      <c r="E137" s="4" t="s">
        <v>514</v>
      </c>
      <c r="F137" s="2" t="s">
        <v>438</v>
      </c>
      <c r="G137" s="2" t="str">
        <f>vlookup(D137,'mussel-ID_key'!A:B,2,false)</f>
        <v>gallo-OA-1</v>
      </c>
      <c r="H137" s="8" t="str">
        <f t="shared" si="2"/>
        <v>gallo-OA-1-mantle</v>
      </c>
      <c r="I137" s="4">
        <f>vlookup(D137,'mussel-ID_key'!A:C,3,false)</f>
        <v>0</v>
      </c>
      <c r="J137" s="2" t="s">
        <v>463</v>
      </c>
      <c r="L137" s="5"/>
      <c r="M137" s="5"/>
    </row>
    <row r="138">
      <c r="A138" s="3" t="s">
        <v>55</v>
      </c>
      <c r="B138" s="2">
        <v>4.0</v>
      </c>
      <c r="C138" s="4" t="str">
        <f t="shared" si="1"/>
        <v>gallo</v>
      </c>
      <c r="D138" s="5" t="s">
        <v>56</v>
      </c>
      <c r="E138" s="5" t="s">
        <v>54</v>
      </c>
      <c r="F138" s="2" t="s">
        <v>14</v>
      </c>
      <c r="G138" s="2" t="str">
        <f>vlookup(D138,'mussel-ID_key'!A:B,2,false)</f>
        <v>gallo-OA-3</v>
      </c>
      <c r="H138" s="8" t="str">
        <f t="shared" si="2"/>
        <v>gallo-OA-3-foot</v>
      </c>
      <c r="I138" s="4">
        <f>vlookup(D138,'mussel-ID_key'!A:C,3,false)</f>
        <v>1</v>
      </c>
      <c r="J138" s="3" t="s">
        <v>55</v>
      </c>
      <c r="L138" s="5"/>
      <c r="M138" s="5"/>
    </row>
    <row r="139">
      <c r="A139" s="3" t="s">
        <v>55</v>
      </c>
      <c r="B139" s="2">
        <v>4.0</v>
      </c>
      <c r="C139" s="4" t="str">
        <f t="shared" si="1"/>
        <v>gallo</v>
      </c>
      <c r="D139" s="5" t="s">
        <v>63</v>
      </c>
      <c r="E139" s="5" t="s">
        <v>62</v>
      </c>
      <c r="F139" s="2" t="s">
        <v>14</v>
      </c>
      <c r="G139" s="2" t="str">
        <f>vlookup(D139,'mussel-ID_key'!A:B,2,false)</f>
        <v>gallo-OA-3</v>
      </c>
      <c r="H139" s="8" t="str">
        <f t="shared" si="2"/>
        <v>gallo-OA-3-foot</v>
      </c>
      <c r="I139" s="4">
        <f>vlookup(D139,'mussel-ID_key'!A:C,3,false)</f>
        <v>1</v>
      </c>
      <c r="J139" s="3" t="s">
        <v>55</v>
      </c>
      <c r="L139" s="5"/>
      <c r="M139" s="5"/>
    </row>
    <row r="140">
      <c r="A140" s="2" t="s">
        <v>55</v>
      </c>
      <c r="B140" s="2">
        <v>4.0</v>
      </c>
      <c r="C140" s="4" t="str">
        <f t="shared" si="1"/>
        <v>gallo</v>
      </c>
      <c r="D140" s="5" t="s">
        <v>66</v>
      </c>
      <c r="E140" s="5" t="s">
        <v>65</v>
      </c>
      <c r="F140" s="2" t="s">
        <v>14</v>
      </c>
      <c r="G140" s="2" t="str">
        <f>vlookup(D140,'mussel-ID_key'!A:B,2,false)</f>
        <v>gallo-OA-3</v>
      </c>
      <c r="H140" s="8" t="str">
        <f t="shared" si="2"/>
        <v>gallo-OA-3-foot</v>
      </c>
      <c r="I140" s="4">
        <f>vlookup(D140,'mussel-ID_key'!A:C,3,false)</f>
        <v>1</v>
      </c>
      <c r="J140" s="2" t="s">
        <v>55</v>
      </c>
      <c r="L140" s="5"/>
      <c r="M140" s="5"/>
    </row>
    <row r="141">
      <c r="A141" s="2" t="s">
        <v>55</v>
      </c>
      <c r="B141" s="2">
        <v>4.0</v>
      </c>
      <c r="C141" s="4" t="str">
        <f t="shared" si="1"/>
        <v>gallo</v>
      </c>
      <c r="D141" s="5" t="s">
        <v>69</v>
      </c>
      <c r="E141" s="5" t="s">
        <v>68</v>
      </c>
      <c r="F141" s="2" t="s">
        <v>14</v>
      </c>
      <c r="G141" s="2" t="str">
        <f>vlookup(D141,'mussel-ID_key'!A:B,2,false)</f>
        <v>gallo-OA-3</v>
      </c>
      <c r="H141" s="8" t="str">
        <f t="shared" si="2"/>
        <v>gallo-OA-3-foot</v>
      </c>
      <c r="I141" s="4">
        <f>vlookup(D141,'mussel-ID_key'!A:C,3,false)</f>
        <v>1</v>
      </c>
      <c r="J141" s="2" t="s">
        <v>55</v>
      </c>
      <c r="L141" s="5"/>
      <c r="M141" s="5"/>
    </row>
    <row r="142">
      <c r="A142" s="2" t="s">
        <v>55</v>
      </c>
      <c r="B142" s="2">
        <v>4.0</v>
      </c>
      <c r="C142" s="4" t="str">
        <f t="shared" si="1"/>
        <v>gallo</v>
      </c>
      <c r="D142" s="5" t="s">
        <v>72</v>
      </c>
      <c r="E142" s="5" t="s">
        <v>71</v>
      </c>
      <c r="F142" s="2" t="s">
        <v>14</v>
      </c>
      <c r="G142" s="2" t="str">
        <f>vlookup(D142,'mussel-ID_key'!A:B,2,false)</f>
        <v>gallo-OA-3</v>
      </c>
      <c r="H142" s="8" t="str">
        <f t="shared" si="2"/>
        <v>gallo-OA-3-foot</v>
      </c>
      <c r="I142" s="4">
        <f>vlookup(D142,'mussel-ID_key'!A:C,3,false)</f>
        <v>1</v>
      </c>
      <c r="J142" s="2" t="s">
        <v>55</v>
      </c>
      <c r="L142" s="5"/>
      <c r="M142" s="5"/>
    </row>
    <row r="143">
      <c r="A143" s="2" t="s">
        <v>55</v>
      </c>
      <c r="B143" s="2">
        <v>4.0</v>
      </c>
      <c r="C143" s="4" t="str">
        <f t="shared" si="1"/>
        <v>gallo</v>
      </c>
      <c r="D143" s="5" t="s">
        <v>75</v>
      </c>
      <c r="E143" s="5" t="s">
        <v>74</v>
      </c>
      <c r="F143" s="2" t="s">
        <v>14</v>
      </c>
      <c r="G143" s="2" t="str">
        <f>vlookup(D143,'mussel-ID_key'!A:B,2,false)</f>
        <v>gallo-OA-3</v>
      </c>
      <c r="H143" s="8" t="str">
        <f t="shared" si="2"/>
        <v>gallo-OA-3-foot</v>
      </c>
      <c r="I143" s="4">
        <f>vlookup(D143,'mussel-ID_key'!A:C,3,false)</f>
        <v>1</v>
      </c>
      <c r="J143" s="2" t="s">
        <v>55</v>
      </c>
      <c r="L143" s="5"/>
      <c r="M143" s="5"/>
    </row>
    <row r="144">
      <c r="A144" s="2" t="s">
        <v>55</v>
      </c>
      <c r="B144" s="2">
        <v>4.0</v>
      </c>
      <c r="C144" s="4" t="str">
        <f t="shared" si="1"/>
        <v>gallo</v>
      </c>
      <c r="D144" s="5" t="s">
        <v>134</v>
      </c>
      <c r="E144" s="5" t="s">
        <v>133</v>
      </c>
      <c r="F144" s="2" t="s">
        <v>14</v>
      </c>
      <c r="G144" s="2" t="str">
        <f>vlookup(D144,'mussel-ID_key'!A:B,2,false)</f>
        <v>gallo-OA-3</v>
      </c>
      <c r="H144" s="8" t="str">
        <f t="shared" si="2"/>
        <v>gallo-OA-3-foot</v>
      </c>
      <c r="I144" s="4">
        <f>vlookup(D144,'mussel-ID_key'!A:C,3,false)</f>
        <v>0</v>
      </c>
      <c r="J144" s="2" t="s">
        <v>55</v>
      </c>
      <c r="L144" s="5"/>
      <c r="M144" s="5"/>
    </row>
    <row r="145">
      <c r="A145" s="2" t="s">
        <v>55</v>
      </c>
      <c r="B145" s="2">
        <v>4.0</v>
      </c>
      <c r="C145" s="4" t="str">
        <f t="shared" si="1"/>
        <v>gallo</v>
      </c>
      <c r="D145" s="5" t="s">
        <v>137</v>
      </c>
      <c r="E145" s="5" t="s">
        <v>136</v>
      </c>
      <c r="F145" s="2" t="s">
        <v>14</v>
      </c>
      <c r="G145" s="2" t="str">
        <f>vlookup(D145,'mussel-ID_key'!A:B,2,false)</f>
        <v>gallo-OA-3</v>
      </c>
      <c r="H145" s="8" t="str">
        <f t="shared" si="2"/>
        <v>gallo-OA-3-foot</v>
      </c>
      <c r="I145" s="4">
        <f>vlookup(D145,'mussel-ID_key'!A:C,3,false)</f>
        <v>0</v>
      </c>
      <c r="J145" s="2" t="s">
        <v>55</v>
      </c>
      <c r="L145" s="5"/>
      <c r="M145" s="5"/>
    </row>
    <row r="146">
      <c r="A146" s="2" t="s">
        <v>55</v>
      </c>
      <c r="B146" s="2">
        <v>4.0</v>
      </c>
      <c r="C146" s="4" t="str">
        <f t="shared" si="1"/>
        <v>gallo</v>
      </c>
      <c r="D146" s="5" t="s">
        <v>140</v>
      </c>
      <c r="E146" s="5" t="s">
        <v>139</v>
      </c>
      <c r="F146" s="2" t="s">
        <v>14</v>
      </c>
      <c r="G146" s="2" t="str">
        <f>vlookup(D146,'mussel-ID_key'!A:B,2,false)</f>
        <v>gallo-OA-3</v>
      </c>
      <c r="H146" s="8" t="str">
        <f t="shared" si="2"/>
        <v>gallo-OA-3-foot</v>
      </c>
      <c r="I146" s="4">
        <f>vlookup(D146,'mussel-ID_key'!A:C,3,false)</f>
        <v>0</v>
      </c>
      <c r="J146" s="2" t="s">
        <v>55</v>
      </c>
      <c r="L146" s="5"/>
      <c r="M146" s="5"/>
    </row>
    <row r="147">
      <c r="A147" s="3" t="s">
        <v>60</v>
      </c>
      <c r="B147" s="2">
        <v>3.0</v>
      </c>
      <c r="C147" s="4" t="str">
        <f t="shared" si="1"/>
        <v>gallo</v>
      </c>
      <c r="D147" s="5" t="str">
        <f t="shared" ref="D147:D155" si="8">left(E147,3)</f>
        <v>G13</v>
      </c>
      <c r="E147" s="5" t="s">
        <v>59</v>
      </c>
      <c r="F147" s="5" t="s">
        <v>18</v>
      </c>
      <c r="G147" s="2" t="str">
        <f>vlookup(D147,'mussel-ID_key'!A:B,2,false)</f>
        <v>gallo-OA-3</v>
      </c>
      <c r="H147" s="8" t="str">
        <f t="shared" si="2"/>
        <v>gallo-OA-3-gill</v>
      </c>
      <c r="I147" s="4">
        <f>vlookup(D147,'mussel-ID_key'!A:C,3,false)</f>
        <v>1</v>
      </c>
      <c r="J147" s="3" t="s">
        <v>60</v>
      </c>
      <c r="L147" s="5"/>
      <c r="M147" s="5"/>
    </row>
    <row r="148">
      <c r="A148" s="3" t="s">
        <v>60</v>
      </c>
      <c r="B148" s="2">
        <v>3.0</v>
      </c>
      <c r="C148" s="4" t="str">
        <f t="shared" si="1"/>
        <v>gallo</v>
      </c>
      <c r="D148" s="5" t="str">
        <f t="shared" si="8"/>
        <v>G14</v>
      </c>
      <c r="E148" s="5" t="s">
        <v>64</v>
      </c>
      <c r="F148" s="5" t="s">
        <v>18</v>
      </c>
      <c r="G148" s="2" t="str">
        <f>vlookup(D148,'mussel-ID_key'!A:B,2,false)</f>
        <v>gallo-OA-3</v>
      </c>
      <c r="H148" s="8" t="str">
        <f t="shared" si="2"/>
        <v>gallo-OA-3-gill</v>
      </c>
      <c r="I148" s="4">
        <f>vlookup(D148,'mussel-ID_key'!A:C,3,false)</f>
        <v>1</v>
      </c>
      <c r="J148" s="3" t="s">
        <v>60</v>
      </c>
      <c r="L148" s="5"/>
      <c r="M148" s="5"/>
    </row>
    <row r="149">
      <c r="A149" s="2" t="s">
        <v>60</v>
      </c>
      <c r="B149" s="2">
        <v>3.0</v>
      </c>
      <c r="C149" s="4" t="str">
        <f t="shared" si="1"/>
        <v>gallo</v>
      </c>
      <c r="D149" s="5" t="str">
        <f t="shared" si="8"/>
        <v>G16</v>
      </c>
      <c r="E149" s="5" t="s">
        <v>70</v>
      </c>
      <c r="F149" s="5" t="s">
        <v>18</v>
      </c>
      <c r="G149" s="2" t="str">
        <f>vlookup(D149,'mussel-ID_key'!A:B,2,false)</f>
        <v>gallo-OA-3</v>
      </c>
      <c r="H149" s="8" t="str">
        <f t="shared" si="2"/>
        <v>gallo-OA-3-gill</v>
      </c>
      <c r="I149" s="4">
        <f>vlookup(D149,'mussel-ID_key'!A:C,3,false)</f>
        <v>1</v>
      </c>
      <c r="J149" s="2" t="s">
        <v>60</v>
      </c>
      <c r="L149" s="5"/>
      <c r="M149" s="5"/>
    </row>
    <row r="150">
      <c r="A150" s="2" t="s">
        <v>60</v>
      </c>
      <c r="B150" s="2">
        <v>3.0</v>
      </c>
      <c r="C150" s="4" t="str">
        <f t="shared" si="1"/>
        <v>gallo</v>
      </c>
      <c r="D150" s="5" t="str">
        <f t="shared" si="8"/>
        <v>G17</v>
      </c>
      <c r="E150" s="5" t="s">
        <v>73</v>
      </c>
      <c r="F150" s="5" t="s">
        <v>18</v>
      </c>
      <c r="G150" s="2" t="str">
        <f>vlookup(D150,'mussel-ID_key'!A:B,2,false)</f>
        <v>gallo-OA-3</v>
      </c>
      <c r="H150" s="8" t="str">
        <f t="shared" si="2"/>
        <v>gallo-OA-3-gill</v>
      </c>
      <c r="I150" s="4">
        <f>vlookup(D150,'mussel-ID_key'!A:C,3,false)</f>
        <v>1</v>
      </c>
      <c r="J150" s="2" t="s">
        <v>60</v>
      </c>
      <c r="L150" s="5"/>
      <c r="M150" s="5"/>
    </row>
    <row r="151">
      <c r="A151" s="2" t="s">
        <v>60</v>
      </c>
      <c r="B151" s="2">
        <v>3.0</v>
      </c>
      <c r="C151" s="4" t="str">
        <f t="shared" si="1"/>
        <v>gallo</v>
      </c>
      <c r="D151" s="5" t="str">
        <f t="shared" si="8"/>
        <v>G18</v>
      </c>
      <c r="E151" s="5" t="s">
        <v>76</v>
      </c>
      <c r="F151" s="5" t="s">
        <v>18</v>
      </c>
      <c r="G151" s="2" t="str">
        <f>vlookup(D151,'mussel-ID_key'!A:B,2,false)</f>
        <v>gallo-OA-3</v>
      </c>
      <c r="H151" s="8" t="str">
        <f t="shared" si="2"/>
        <v>gallo-OA-3-gill</v>
      </c>
      <c r="I151" s="4">
        <f>vlookup(D151,'mussel-ID_key'!A:C,3,false)</f>
        <v>1</v>
      </c>
      <c r="J151" s="2" t="s">
        <v>60</v>
      </c>
      <c r="L151" s="5"/>
      <c r="M151" s="5"/>
    </row>
    <row r="152">
      <c r="A152" s="2" t="s">
        <v>60</v>
      </c>
      <c r="B152" s="2">
        <v>3.0</v>
      </c>
      <c r="C152" s="4" t="str">
        <f t="shared" si="1"/>
        <v>gallo</v>
      </c>
      <c r="D152" s="5" t="str">
        <f t="shared" si="8"/>
        <v>G71</v>
      </c>
      <c r="E152" s="5" t="s">
        <v>135</v>
      </c>
      <c r="F152" s="5" t="s">
        <v>18</v>
      </c>
      <c r="G152" s="2" t="str">
        <f>vlookup(D152,'mussel-ID_key'!A:B,2,false)</f>
        <v>gallo-OA-3</v>
      </c>
      <c r="H152" s="8" t="str">
        <f t="shared" si="2"/>
        <v>gallo-OA-3-gill</v>
      </c>
      <c r="I152" s="4">
        <f>vlookup(D152,'mussel-ID_key'!A:C,3,false)</f>
        <v>0</v>
      </c>
      <c r="J152" s="2" t="s">
        <v>60</v>
      </c>
      <c r="L152" s="5"/>
      <c r="M152" s="5"/>
    </row>
    <row r="153">
      <c r="A153" s="2" t="s">
        <v>60</v>
      </c>
      <c r="B153" s="2">
        <v>3.0</v>
      </c>
      <c r="C153" s="4" t="str">
        <f t="shared" si="1"/>
        <v>gallo</v>
      </c>
      <c r="D153" s="5" t="str">
        <f t="shared" si="8"/>
        <v>G72</v>
      </c>
      <c r="E153" s="5" t="s">
        <v>138</v>
      </c>
      <c r="F153" s="5" t="s">
        <v>18</v>
      </c>
      <c r="G153" s="2" t="str">
        <f>vlookup(D153,'mussel-ID_key'!A:B,2,false)</f>
        <v>gallo-OA-3</v>
      </c>
      <c r="H153" s="8" t="str">
        <f t="shared" si="2"/>
        <v>gallo-OA-3-gill</v>
      </c>
      <c r="I153" s="4">
        <f>vlookup(D153,'mussel-ID_key'!A:C,3,false)</f>
        <v>0</v>
      </c>
      <c r="J153" s="2" t="s">
        <v>60</v>
      </c>
      <c r="L153" s="5"/>
      <c r="M153" s="5"/>
    </row>
    <row r="154">
      <c r="A154" s="2" t="s">
        <v>60</v>
      </c>
      <c r="B154" s="2">
        <v>3.0</v>
      </c>
      <c r="C154" s="4" t="str">
        <f t="shared" si="1"/>
        <v>gallo</v>
      </c>
      <c r="D154" s="5" t="str">
        <f t="shared" si="8"/>
        <v>G73</v>
      </c>
      <c r="E154" s="5" t="s">
        <v>141</v>
      </c>
      <c r="F154" s="5" t="s">
        <v>18</v>
      </c>
      <c r="G154" s="2" t="str">
        <f>vlookup(D154,'mussel-ID_key'!A:B,2,false)</f>
        <v>gallo-OA-3</v>
      </c>
      <c r="H154" s="8" t="str">
        <f t="shared" si="2"/>
        <v>gallo-OA-3-gill</v>
      </c>
      <c r="I154" s="4">
        <f>vlookup(D154,'mussel-ID_key'!A:C,3,false)</f>
        <v>0</v>
      </c>
      <c r="J154" s="2" t="s">
        <v>60</v>
      </c>
      <c r="L154" s="5"/>
      <c r="M154" s="5"/>
    </row>
    <row r="155">
      <c r="A155" s="2" t="s">
        <v>60</v>
      </c>
      <c r="B155" s="2">
        <v>3.0</v>
      </c>
      <c r="C155" s="4" t="str">
        <f t="shared" si="1"/>
        <v>gallo</v>
      </c>
      <c r="D155" s="5" t="str">
        <f t="shared" si="8"/>
        <v>G18</v>
      </c>
      <c r="E155" s="5" t="s">
        <v>515</v>
      </c>
      <c r="F155" s="5" t="s">
        <v>438</v>
      </c>
      <c r="G155" s="2" t="str">
        <f>vlookup(D155,'mussel-ID_key'!A:B,2,false)</f>
        <v>gallo-OA-3</v>
      </c>
      <c r="H155" s="8" t="str">
        <f t="shared" si="2"/>
        <v>gallo-OA-3-mantle</v>
      </c>
      <c r="I155" s="4">
        <f>vlookup(D155,'mussel-ID_key'!A:C,3,false)</f>
        <v>1</v>
      </c>
      <c r="J155" s="2" t="s">
        <v>60</v>
      </c>
      <c r="L155" s="5"/>
      <c r="M155" s="5"/>
    </row>
    <row r="156">
      <c r="A156" s="2" t="s">
        <v>55</v>
      </c>
      <c r="B156" s="2">
        <v>4.0</v>
      </c>
      <c r="C156" s="4" t="str">
        <f t="shared" si="1"/>
        <v>gallo</v>
      </c>
      <c r="D156" s="5" t="s">
        <v>56</v>
      </c>
      <c r="E156" s="5" t="s">
        <v>516</v>
      </c>
      <c r="F156" s="2" t="s">
        <v>438</v>
      </c>
      <c r="G156" s="2" t="str">
        <f>vlookup(D156,'mussel-ID_key'!A:B,2,false)</f>
        <v>gallo-OA-3</v>
      </c>
      <c r="H156" s="8" t="str">
        <f t="shared" si="2"/>
        <v>gallo-OA-3-mantle</v>
      </c>
      <c r="I156" s="4">
        <f>vlookup(D156,'mussel-ID_key'!A:C,3,false)</f>
        <v>1</v>
      </c>
      <c r="J156" s="2" t="s">
        <v>55</v>
      </c>
      <c r="L156" s="5"/>
      <c r="M156" s="5"/>
    </row>
    <row r="157">
      <c r="A157" s="2" t="s">
        <v>55</v>
      </c>
      <c r="B157" s="2">
        <v>4.0</v>
      </c>
      <c r="C157" s="4" t="str">
        <f t="shared" si="1"/>
        <v>gallo</v>
      </c>
      <c r="D157" s="5" t="s">
        <v>63</v>
      </c>
      <c r="E157" s="5" t="s">
        <v>517</v>
      </c>
      <c r="F157" s="2" t="s">
        <v>438</v>
      </c>
      <c r="G157" s="2" t="str">
        <f>vlookup(D157,'mussel-ID_key'!A:B,2,false)</f>
        <v>gallo-OA-3</v>
      </c>
      <c r="H157" s="8" t="str">
        <f t="shared" si="2"/>
        <v>gallo-OA-3-mantle</v>
      </c>
      <c r="I157" s="4">
        <f>vlookup(D157,'mussel-ID_key'!A:C,3,false)</f>
        <v>1</v>
      </c>
      <c r="J157" s="2" t="s">
        <v>55</v>
      </c>
      <c r="L157" s="5"/>
      <c r="M157" s="5"/>
    </row>
    <row r="158">
      <c r="A158" s="2" t="s">
        <v>55</v>
      </c>
      <c r="B158" s="2">
        <v>4.0</v>
      </c>
      <c r="C158" s="4" t="str">
        <f t="shared" si="1"/>
        <v>gallo</v>
      </c>
      <c r="D158" s="5" t="s">
        <v>66</v>
      </c>
      <c r="E158" s="5" t="s">
        <v>518</v>
      </c>
      <c r="F158" s="2" t="s">
        <v>438</v>
      </c>
      <c r="G158" s="2" t="str">
        <f>vlookup(D158,'mussel-ID_key'!A:B,2,false)</f>
        <v>gallo-OA-3</v>
      </c>
      <c r="H158" s="8" t="str">
        <f t="shared" si="2"/>
        <v>gallo-OA-3-mantle</v>
      </c>
      <c r="I158" s="4">
        <f>vlookup(D158,'mussel-ID_key'!A:C,3,false)</f>
        <v>1</v>
      </c>
      <c r="J158" s="2" t="s">
        <v>55</v>
      </c>
      <c r="L158" s="5"/>
      <c r="M158" s="5"/>
    </row>
    <row r="159">
      <c r="A159" s="2" t="s">
        <v>55</v>
      </c>
      <c r="B159" s="2">
        <v>4.0</v>
      </c>
      <c r="C159" s="4" t="str">
        <f t="shared" si="1"/>
        <v>gallo</v>
      </c>
      <c r="D159" s="5" t="s">
        <v>69</v>
      </c>
      <c r="E159" s="5" t="s">
        <v>519</v>
      </c>
      <c r="F159" s="2" t="s">
        <v>438</v>
      </c>
      <c r="G159" s="2" t="str">
        <f>vlookup(D159,'mussel-ID_key'!A:B,2,false)</f>
        <v>gallo-OA-3</v>
      </c>
      <c r="H159" s="8" t="str">
        <f t="shared" si="2"/>
        <v>gallo-OA-3-mantle</v>
      </c>
      <c r="I159" s="4">
        <f>vlookup(D159,'mussel-ID_key'!A:C,3,false)</f>
        <v>1</v>
      </c>
      <c r="J159" s="2" t="s">
        <v>55</v>
      </c>
      <c r="L159" s="5"/>
      <c r="M159" s="5"/>
    </row>
    <row r="160">
      <c r="A160" s="2" t="s">
        <v>55</v>
      </c>
      <c r="B160" s="2">
        <v>4.0</v>
      </c>
      <c r="C160" s="4" t="str">
        <f t="shared" si="1"/>
        <v>gallo</v>
      </c>
      <c r="D160" s="5" t="s">
        <v>72</v>
      </c>
      <c r="E160" s="5" t="s">
        <v>520</v>
      </c>
      <c r="F160" s="2" t="s">
        <v>438</v>
      </c>
      <c r="G160" s="2" t="str">
        <f>vlookup(D160,'mussel-ID_key'!A:B,2,false)</f>
        <v>gallo-OA-3</v>
      </c>
      <c r="H160" s="8" t="str">
        <f t="shared" si="2"/>
        <v>gallo-OA-3-mantle</v>
      </c>
      <c r="I160" s="4">
        <f>vlookup(D160,'mussel-ID_key'!A:C,3,false)</f>
        <v>1</v>
      </c>
      <c r="J160" s="2" t="s">
        <v>55</v>
      </c>
      <c r="L160" s="5"/>
      <c r="M160" s="5"/>
    </row>
    <row r="161">
      <c r="A161" s="2" t="s">
        <v>60</v>
      </c>
      <c r="B161" s="2">
        <v>3.0</v>
      </c>
      <c r="C161" s="4" t="str">
        <f t="shared" si="1"/>
        <v>gallo</v>
      </c>
      <c r="D161" s="5" t="str">
        <f>left(E161,3)</f>
        <v>G73</v>
      </c>
      <c r="E161" s="5" t="s">
        <v>521</v>
      </c>
      <c r="F161" s="5" t="s">
        <v>438</v>
      </c>
      <c r="G161" s="2" t="str">
        <f>vlookup(D161,'mussel-ID_key'!A:B,2,false)</f>
        <v>gallo-OA-3</v>
      </c>
      <c r="H161" s="8" t="str">
        <f t="shared" si="2"/>
        <v>gallo-OA-3-mantle</v>
      </c>
      <c r="I161" s="4">
        <f>vlookup(D161,'mussel-ID_key'!A:C,3,false)</f>
        <v>0</v>
      </c>
      <c r="J161" s="2" t="s">
        <v>60</v>
      </c>
      <c r="L161" s="5"/>
      <c r="M161" s="5"/>
    </row>
    <row r="162">
      <c r="A162" s="2" t="s">
        <v>55</v>
      </c>
      <c r="B162" s="2">
        <v>4.0</v>
      </c>
      <c r="C162" s="4" t="str">
        <f t="shared" si="1"/>
        <v>gallo</v>
      </c>
      <c r="D162" s="5" t="s">
        <v>134</v>
      </c>
      <c r="E162" s="5" t="s">
        <v>522</v>
      </c>
      <c r="F162" s="2" t="s">
        <v>438</v>
      </c>
      <c r="G162" s="2" t="str">
        <f>vlookup(D162,'mussel-ID_key'!A:B,2,false)</f>
        <v>gallo-OA-3</v>
      </c>
      <c r="H162" s="8" t="str">
        <f t="shared" si="2"/>
        <v>gallo-OA-3-mantle</v>
      </c>
      <c r="I162" s="4">
        <f>vlookup(D162,'mussel-ID_key'!A:C,3,false)</f>
        <v>0</v>
      </c>
      <c r="J162" s="2" t="s">
        <v>55</v>
      </c>
      <c r="L162" s="5"/>
      <c r="M162" s="5"/>
    </row>
    <row r="163">
      <c r="A163" s="2" t="s">
        <v>55</v>
      </c>
      <c r="B163" s="2">
        <v>4.0</v>
      </c>
      <c r="C163" s="4" t="str">
        <f t="shared" si="1"/>
        <v>gallo</v>
      </c>
      <c r="D163" s="5" t="s">
        <v>137</v>
      </c>
      <c r="E163" s="5" t="s">
        <v>523</v>
      </c>
      <c r="F163" s="2" t="s">
        <v>438</v>
      </c>
      <c r="G163" s="2" t="str">
        <f>vlookup(D163,'mussel-ID_key'!A:B,2,false)</f>
        <v>gallo-OA-3</v>
      </c>
      <c r="H163" s="8" t="str">
        <f t="shared" si="2"/>
        <v>gallo-OA-3-mantle</v>
      </c>
      <c r="I163" s="4">
        <f>vlookup(D163,'mussel-ID_key'!A:C,3,false)</f>
        <v>0</v>
      </c>
      <c r="J163" s="2" t="s">
        <v>55</v>
      </c>
      <c r="L163" s="5"/>
      <c r="M163" s="5"/>
    </row>
    <row r="164">
      <c r="A164" s="3" t="s">
        <v>78</v>
      </c>
      <c r="B164" s="2">
        <v>7.0</v>
      </c>
      <c r="C164" s="4" t="str">
        <f t="shared" si="1"/>
        <v>gallo</v>
      </c>
      <c r="D164" s="6" t="str">
        <f t="shared" ref="D164:D190" si="9">left(E164,3)</f>
        <v>G21</v>
      </c>
      <c r="E164" s="5" t="s">
        <v>77</v>
      </c>
      <c r="F164" s="7" t="s">
        <v>14</v>
      </c>
      <c r="G164" s="2" t="str">
        <f>vlookup(D164,'mussel-ID_key'!A:B,2,false)</f>
        <v>gallo-OW-3</v>
      </c>
      <c r="H164" s="8" t="str">
        <f t="shared" si="2"/>
        <v>gallo-OW-3-foot</v>
      </c>
      <c r="I164" s="4">
        <f>vlookup(D164,'mussel-ID_key'!A:C,3,false)</f>
        <v>1</v>
      </c>
      <c r="J164" s="3" t="s">
        <v>78</v>
      </c>
      <c r="L164" s="5"/>
      <c r="M164" s="5"/>
    </row>
    <row r="165">
      <c r="A165" s="3" t="s">
        <v>78</v>
      </c>
      <c r="B165" s="2">
        <v>7.0</v>
      </c>
      <c r="C165" s="4" t="str">
        <f t="shared" si="1"/>
        <v>gallo</v>
      </c>
      <c r="D165" s="6" t="str">
        <f t="shared" si="9"/>
        <v>G24</v>
      </c>
      <c r="E165" s="5" t="s">
        <v>85</v>
      </c>
      <c r="F165" s="7" t="s">
        <v>14</v>
      </c>
      <c r="G165" s="2" t="str">
        <f>vlookup(D165,'mussel-ID_key'!A:B,2,false)</f>
        <v>gallo-OW-3</v>
      </c>
      <c r="H165" s="8" t="str">
        <f t="shared" si="2"/>
        <v>gallo-OW-3-foot</v>
      </c>
      <c r="I165" s="4">
        <f>vlookup(D165,'mussel-ID_key'!A:C,3,false)</f>
        <v>1</v>
      </c>
      <c r="J165" s="3" t="s">
        <v>78</v>
      </c>
      <c r="L165" s="5"/>
      <c r="M165" s="5"/>
    </row>
    <row r="166">
      <c r="A166" s="2" t="s">
        <v>78</v>
      </c>
      <c r="B166" s="2">
        <v>7.0</v>
      </c>
      <c r="C166" s="4" t="str">
        <f t="shared" si="1"/>
        <v>gallo</v>
      </c>
      <c r="D166" s="6" t="str">
        <f t="shared" si="9"/>
        <v>G26</v>
      </c>
      <c r="E166" s="5" t="s">
        <v>88</v>
      </c>
      <c r="F166" s="7" t="s">
        <v>14</v>
      </c>
      <c r="G166" s="2" t="str">
        <f>vlookup(D166,'mussel-ID_key'!A:B,2,false)</f>
        <v>gallo-OW-3</v>
      </c>
      <c r="H166" s="8" t="str">
        <f t="shared" si="2"/>
        <v>gallo-OW-3-foot</v>
      </c>
      <c r="I166" s="4">
        <f>vlookup(D166,'mussel-ID_key'!A:C,3,false)</f>
        <v>1</v>
      </c>
      <c r="J166" s="2" t="s">
        <v>78</v>
      </c>
      <c r="L166" s="5"/>
      <c r="M166" s="5"/>
    </row>
    <row r="167">
      <c r="A167" s="2" t="s">
        <v>78</v>
      </c>
      <c r="B167" s="2">
        <v>7.0</v>
      </c>
      <c r="C167" s="4" t="str">
        <f t="shared" si="1"/>
        <v>gallo</v>
      </c>
      <c r="D167" s="6" t="str">
        <f t="shared" si="9"/>
        <v>G65</v>
      </c>
      <c r="E167" s="5" t="s">
        <v>115</v>
      </c>
      <c r="F167" s="7" t="s">
        <v>14</v>
      </c>
      <c r="G167" s="2" t="str">
        <f>vlookup(D167,'mussel-ID_key'!A:B,2,false)</f>
        <v>gallo-OW-3</v>
      </c>
      <c r="H167" s="8" t="str">
        <f t="shared" si="2"/>
        <v>gallo-OW-3-foot</v>
      </c>
      <c r="I167" s="4">
        <f>vlookup(D167,'mussel-ID_key'!A:C,3,false)</f>
        <v>0</v>
      </c>
      <c r="J167" s="2" t="s">
        <v>78</v>
      </c>
      <c r="L167" s="5"/>
      <c r="M167" s="5"/>
    </row>
    <row r="168">
      <c r="A168" s="2" t="s">
        <v>78</v>
      </c>
      <c r="B168" s="2">
        <v>7.0</v>
      </c>
      <c r="C168" s="4" t="str">
        <f t="shared" si="1"/>
        <v>gallo</v>
      </c>
      <c r="D168" s="6" t="str">
        <f t="shared" si="9"/>
        <v>G74</v>
      </c>
      <c r="E168" s="5" t="s">
        <v>142</v>
      </c>
      <c r="F168" s="7" t="s">
        <v>14</v>
      </c>
      <c r="G168" s="2" t="str">
        <f>vlookup(D168,'mussel-ID_key'!A:B,2,false)</f>
        <v>gallo-OW-3</v>
      </c>
      <c r="H168" s="8" t="str">
        <f t="shared" si="2"/>
        <v>gallo-OW-3-foot</v>
      </c>
      <c r="I168" s="4">
        <f>vlookup(D168,'mussel-ID_key'!A:C,3,false)</f>
        <v>0</v>
      </c>
      <c r="J168" s="2" t="s">
        <v>78</v>
      </c>
      <c r="L168" s="5"/>
      <c r="M168" s="5"/>
    </row>
    <row r="169">
      <c r="A169" s="2" t="s">
        <v>78</v>
      </c>
      <c r="B169" s="2">
        <v>7.0</v>
      </c>
      <c r="C169" s="4" t="str">
        <f t="shared" si="1"/>
        <v>gallo</v>
      </c>
      <c r="D169" s="6" t="str">
        <f t="shared" si="9"/>
        <v>G75</v>
      </c>
      <c r="E169" s="5" t="s">
        <v>145</v>
      </c>
      <c r="F169" s="7" t="s">
        <v>14</v>
      </c>
      <c r="G169" s="2" t="str">
        <f>vlookup(D169,'mussel-ID_key'!A:B,2,false)</f>
        <v>gallo-OW-3</v>
      </c>
      <c r="H169" s="8" t="str">
        <f t="shared" si="2"/>
        <v>gallo-OW-3-foot</v>
      </c>
      <c r="I169" s="4">
        <f>vlookup(D169,'mussel-ID_key'!A:C,3,false)</f>
        <v>0</v>
      </c>
      <c r="J169" s="2" t="s">
        <v>78</v>
      </c>
      <c r="L169" s="5"/>
      <c r="M169" s="5"/>
    </row>
    <row r="170">
      <c r="A170" s="2" t="s">
        <v>78</v>
      </c>
      <c r="B170" s="2">
        <v>7.0</v>
      </c>
      <c r="C170" s="4" t="str">
        <f t="shared" si="1"/>
        <v>gallo</v>
      </c>
      <c r="D170" s="6" t="str">
        <f t="shared" si="9"/>
        <v>G76</v>
      </c>
      <c r="E170" s="5" t="s">
        <v>148</v>
      </c>
      <c r="F170" s="7" t="s">
        <v>14</v>
      </c>
      <c r="G170" s="2" t="str">
        <f>vlookup(D170,'mussel-ID_key'!A:B,2,false)</f>
        <v>gallo-OW-3</v>
      </c>
      <c r="H170" s="8" t="str">
        <f t="shared" si="2"/>
        <v>gallo-OW-3-foot</v>
      </c>
      <c r="I170" s="4">
        <f>vlookup(D170,'mussel-ID_key'!A:C,3,false)</f>
        <v>0</v>
      </c>
      <c r="J170" s="2" t="s">
        <v>78</v>
      </c>
      <c r="L170" s="5"/>
      <c r="M170" s="5"/>
    </row>
    <row r="171">
      <c r="A171" s="2" t="s">
        <v>78</v>
      </c>
      <c r="B171" s="2">
        <v>7.0</v>
      </c>
      <c r="C171" s="4" t="str">
        <f t="shared" si="1"/>
        <v>gallo</v>
      </c>
      <c r="D171" s="6" t="str">
        <f t="shared" si="9"/>
        <v>G77</v>
      </c>
      <c r="E171" s="5" t="s">
        <v>151</v>
      </c>
      <c r="F171" s="7" t="s">
        <v>14</v>
      </c>
      <c r="G171" s="2" t="str">
        <f>vlookup(D171,'mussel-ID_key'!A:B,2,false)</f>
        <v>gallo-OW-3</v>
      </c>
      <c r="H171" s="8" t="str">
        <f t="shared" si="2"/>
        <v>gallo-OW-3-foot</v>
      </c>
      <c r="I171" s="4">
        <f>vlookup(D171,'mussel-ID_key'!A:C,3,false)</f>
        <v>0</v>
      </c>
      <c r="J171" s="2" t="s">
        <v>78</v>
      </c>
      <c r="L171" s="5"/>
      <c r="M171" s="5"/>
    </row>
    <row r="172">
      <c r="A172" s="2" t="s">
        <v>78</v>
      </c>
      <c r="B172" s="2">
        <v>7.0</v>
      </c>
      <c r="C172" s="4" t="str">
        <f t="shared" si="1"/>
        <v>gallo</v>
      </c>
      <c r="D172" s="6" t="str">
        <f t="shared" si="9"/>
        <v>G78</v>
      </c>
      <c r="E172" s="5" t="s">
        <v>154</v>
      </c>
      <c r="F172" s="7" t="s">
        <v>14</v>
      </c>
      <c r="G172" s="2" t="str">
        <f>vlookup(D172,'mussel-ID_key'!A:B,2,false)</f>
        <v>gallo-OW-3</v>
      </c>
      <c r="H172" s="8" t="str">
        <f t="shared" si="2"/>
        <v>gallo-OW-3-foot</v>
      </c>
      <c r="I172" s="4">
        <f>vlookup(D172,'mussel-ID_key'!A:C,3,false)</f>
        <v>0</v>
      </c>
      <c r="J172" s="2" t="s">
        <v>78</v>
      </c>
      <c r="L172" s="5"/>
      <c r="M172" s="5"/>
    </row>
    <row r="173">
      <c r="A173" s="3" t="s">
        <v>83</v>
      </c>
      <c r="B173" s="2">
        <v>5.0</v>
      </c>
      <c r="C173" s="4" t="str">
        <f t="shared" si="1"/>
        <v>gallo</v>
      </c>
      <c r="D173" s="5" t="str">
        <f t="shared" si="9"/>
        <v>G21</v>
      </c>
      <c r="E173" s="5" t="s">
        <v>82</v>
      </c>
      <c r="F173" s="2" t="s">
        <v>18</v>
      </c>
      <c r="G173" s="2" t="str">
        <f>vlookup(D173,'mussel-ID_key'!A:B,2,false)</f>
        <v>gallo-OW-3</v>
      </c>
      <c r="H173" s="8" t="str">
        <f t="shared" si="2"/>
        <v>gallo-OW-3-gill</v>
      </c>
      <c r="I173" s="4">
        <f>vlookup(D173,'mussel-ID_key'!A:C,3,false)</f>
        <v>1</v>
      </c>
      <c r="J173" s="3" t="s">
        <v>83</v>
      </c>
      <c r="L173" s="5"/>
      <c r="M173" s="5"/>
    </row>
    <row r="174">
      <c r="A174" s="3" t="s">
        <v>83</v>
      </c>
      <c r="B174" s="2">
        <v>5.0</v>
      </c>
      <c r="C174" s="4" t="str">
        <f t="shared" si="1"/>
        <v>gallo</v>
      </c>
      <c r="D174" s="5" t="str">
        <f t="shared" si="9"/>
        <v>G24</v>
      </c>
      <c r="E174" s="5" t="s">
        <v>87</v>
      </c>
      <c r="F174" s="2" t="s">
        <v>18</v>
      </c>
      <c r="G174" s="2" t="str">
        <f>vlookup(D174,'mussel-ID_key'!A:B,2,false)</f>
        <v>gallo-OW-3</v>
      </c>
      <c r="H174" s="8" t="str">
        <f t="shared" si="2"/>
        <v>gallo-OW-3-gill</v>
      </c>
      <c r="I174" s="4">
        <f>vlookup(D174,'mussel-ID_key'!A:C,3,false)</f>
        <v>1</v>
      </c>
      <c r="J174" s="3" t="s">
        <v>83</v>
      </c>
      <c r="L174" s="5"/>
      <c r="M174" s="5"/>
    </row>
    <row r="175">
      <c r="A175" s="2" t="s">
        <v>83</v>
      </c>
      <c r="B175" s="2">
        <v>5.0</v>
      </c>
      <c r="C175" s="4" t="str">
        <f t="shared" si="1"/>
        <v>gallo</v>
      </c>
      <c r="D175" s="5" t="str">
        <f t="shared" si="9"/>
        <v>G26</v>
      </c>
      <c r="E175" s="5" t="s">
        <v>90</v>
      </c>
      <c r="F175" s="2" t="s">
        <v>18</v>
      </c>
      <c r="G175" s="2" t="str">
        <f>vlookup(D175,'mussel-ID_key'!A:B,2,false)</f>
        <v>gallo-OW-3</v>
      </c>
      <c r="H175" s="8" t="str">
        <f t="shared" si="2"/>
        <v>gallo-OW-3-gill</v>
      </c>
      <c r="I175" s="4">
        <f>vlookup(D175,'mussel-ID_key'!A:C,3,false)</f>
        <v>1</v>
      </c>
      <c r="J175" s="2" t="s">
        <v>83</v>
      </c>
      <c r="L175" s="5"/>
      <c r="M175" s="5"/>
    </row>
    <row r="176">
      <c r="A176" s="2" t="s">
        <v>83</v>
      </c>
      <c r="B176" s="2">
        <v>5.0</v>
      </c>
      <c r="C176" s="4" t="str">
        <f t="shared" si="1"/>
        <v>gallo</v>
      </c>
      <c r="D176" s="5" t="str">
        <f t="shared" si="9"/>
        <v>G65</v>
      </c>
      <c r="E176" s="5" t="s">
        <v>117</v>
      </c>
      <c r="F176" s="2" t="s">
        <v>18</v>
      </c>
      <c r="G176" s="2" t="str">
        <f>vlookup(D176,'mussel-ID_key'!A:B,2,false)</f>
        <v>gallo-OW-3</v>
      </c>
      <c r="H176" s="8" t="str">
        <f t="shared" si="2"/>
        <v>gallo-OW-3-gill</v>
      </c>
      <c r="I176" s="4">
        <f>vlookup(D176,'mussel-ID_key'!A:C,3,false)</f>
        <v>0</v>
      </c>
      <c r="J176" s="2" t="s">
        <v>83</v>
      </c>
      <c r="L176" s="5"/>
      <c r="M176" s="5"/>
    </row>
    <row r="177">
      <c r="A177" s="2" t="s">
        <v>83</v>
      </c>
      <c r="B177" s="2">
        <v>5.0</v>
      </c>
      <c r="C177" s="4" t="str">
        <f t="shared" si="1"/>
        <v>gallo</v>
      </c>
      <c r="D177" s="5" t="str">
        <f t="shared" si="9"/>
        <v>G74</v>
      </c>
      <c r="E177" s="5" t="s">
        <v>144</v>
      </c>
      <c r="F177" s="2" t="s">
        <v>18</v>
      </c>
      <c r="G177" s="2" t="str">
        <f>vlookup(D177,'mussel-ID_key'!A:B,2,false)</f>
        <v>gallo-OW-3</v>
      </c>
      <c r="H177" s="8" t="str">
        <f t="shared" si="2"/>
        <v>gallo-OW-3-gill</v>
      </c>
      <c r="I177" s="4">
        <f>vlookup(D177,'mussel-ID_key'!A:C,3,false)</f>
        <v>0</v>
      </c>
      <c r="J177" s="2" t="s">
        <v>83</v>
      </c>
      <c r="L177" s="5"/>
      <c r="M177" s="5"/>
    </row>
    <row r="178">
      <c r="A178" s="2" t="s">
        <v>83</v>
      </c>
      <c r="B178" s="2">
        <v>5.0</v>
      </c>
      <c r="C178" s="4" t="str">
        <f t="shared" si="1"/>
        <v>gallo</v>
      </c>
      <c r="D178" s="5" t="str">
        <f t="shared" si="9"/>
        <v>G75</v>
      </c>
      <c r="E178" s="5" t="s">
        <v>147</v>
      </c>
      <c r="F178" s="2" t="s">
        <v>18</v>
      </c>
      <c r="G178" s="2" t="str">
        <f>vlookup(D178,'mussel-ID_key'!A:B,2,false)</f>
        <v>gallo-OW-3</v>
      </c>
      <c r="H178" s="8" t="str">
        <f t="shared" si="2"/>
        <v>gallo-OW-3-gill</v>
      </c>
      <c r="I178" s="4">
        <f>vlookup(D178,'mussel-ID_key'!A:C,3,false)</f>
        <v>0</v>
      </c>
      <c r="J178" s="2" t="s">
        <v>83</v>
      </c>
      <c r="L178" s="5"/>
      <c r="M178" s="5"/>
    </row>
    <row r="179">
      <c r="A179" s="2" t="s">
        <v>83</v>
      </c>
      <c r="B179" s="2">
        <v>5.0</v>
      </c>
      <c r="C179" s="4" t="str">
        <f t="shared" si="1"/>
        <v>gallo</v>
      </c>
      <c r="D179" s="5" t="str">
        <f t="shared" si="9"/>
        <v>G76</v>
      </c>
      <c r="E179" s="5" t="s">
        <v>150</v>
      </c>
      <c r="F179" s="2" t="s">
        <v>18</v>
      </c>
      <c r="G179" s="2" t="str">
        <f>vlookup(D179,'mussel-ID_key'!A:B,2,false)</f>
        <v>gallo-OW-3</v>
      </c>
      <c r="H179" s="8" t="str">
        <f t="shared" si="2"/>
        <v>gallo-OW-3-gill</v>
      </c>
      <c r="I179" s="4">
        <f>vlookup(D179,'mussel-ID_key'!A:C,3,false)</f>
        <v>0</v>
      </c>
      <c r="J179" s="2" t="s">
        <v>83</v>
      </c>
      <c r="L179" s="5"/>
      <c r="M179" s="5"/>
    </row>
    <row r="180">
      <c r="A180" s="2" t="s">
        <v>83</v>
      </c>
      <c r="B180" s="2">
        <v>5.0</v>
      </c>
      <c r="C180" s="4" t="str">
        <f t="shared" si="1"/>
        <v>gallo</v>
      </c>
      <c r="D180" s="5" t="str">
        <f t="shared" si="9"/>
        <v>G77</v>
      </c>
      <c r="E180" s="5" t="s">
        <v>153</v>
      </c>
      <c r="F180" s="2" t="s">
        <v>18</v>
      </c>
      <c r="G180" s="2" t="str">
        <f>vlookup(D180,'mussel-ID_key'!A:B,2,false)</f>
        <v>gallo-OW-3</v>
      </c>
      <c r="H180" s="8" t="str">
        <f t="shared" si="2"/>
        <v>gallo-OW-3-gill</v>
      </c>
      <c r="I180" s="4">
        <f>vlookup(D180,'mussel-ID_key'!A:C,3,false)</f>
        <v>0</v>
      </c>
      <c r="J180" s="2" t="s">
        <v>83</v>
      </c>
      <c r="L180" s="5"/>
      <c r="M180" s="5"/>
    </row>
    <row r="181">
      <c r="A181" s="2" t="s">
        <v>83</v>
      </c>
      <c r="B181" s="2">
        <v>5.0</v>
      </c>
      <c r="C181" s="4" t="str">
        <f t="shared" si="1"/>
        <v>gallo</v>
      </c>
      <c r="D181" s="5" t="str">
        <f t="shared" si="9"/>
        <v>G78</v>
      </c>
      <c r="E181" s="5" t="s">
        <v>156</v>
      </c>
      <c r="F181" s="2" t="s">
        <v>18</v>
      </c>
      <c r="G181" s="2" t="str">
        <f>vlookup(D181,'mussel-ID_key'!A:B,2,false)</f>
        <v>gallo-OW-3</v>
      </c>
      <c r="H181" s="8" t="str">
        <f t="shared" si="2"/>
        <v>gallo-OW-3-gill</v>
      </c>
      <c r="I181" s="4">
        <f>vlookup(D181,'mussel-ID_key'!A:C,3,false)</f>
        <v>0</v>
      </c>
      <c r="J181" s="2" t="s">
        <v>83</v>
      </c>
      <c r="L181" s="5"/>
      <c r="M181" s="5"/>
    </row>
    <row r="182">
      <c r="A182" s="3" t="s">
        <v>450</v>
      </c>
      <c r="B182" s="2">
        <v>6.0</v>
      </c>
      <c r="C182" s="4" t="str">
        <f t="shared" si="1"/>
        <v>gallo</v>
      </c>
      <c r="D182" s="5" t="str">
        <f t="shared" si="9"/>
        <v>G21</v>
      </c>
      <c r="E182" s="5" t="s">
        <v>524</v>
      </c>
      <c r="F182" s="2" t="s">
        <v>438</v>
      </c>
      <c r="G182" s="2" t="str">
        <f>vlookup(D182,'mussel-ID_key'!A:B,2,false)</f>
        <v>gallo-OW-3</v>
      </c>
      <c r="H182" s="8" t="str">
        <f t="shared" si="2"/>
        <v>gallo-OW-3-mantle</v>
      </c>
      <c r="I182" s="4">
        <f>vlookup(D182,'mussel-ID_key'!A:C,3,false)</f>
        <v>1</v>
      </c>
      <c r="J182" s="3" t="s">
        <v>450</v>
      </c>
      <c r="L182" s="5"/>
      <c r="M182" s="5"/>
    </row>
    <row r="183">
      <c r="A183" s="3" t="s">
        <v>450</v>
      </c>
      <c r="B183" s="2">
        <v>6.0</v>
      </c>
      <c r="C183" s="4" t="str">
        <f t="shared" si="1"/>
        <v>gallo</v>
      </c>
      <c r="D183" s="5" t="str">
        <f t="shared" si="9"/>
        <v>G24</v>
      </c>
      <c r="E183" s="5" t="s">
        <v>525</v>
      </c>
      <c r="F183" s="2" t="s">
        <v>438</v>
      </c>
      <c r="G183" s="2" t="str">
        <f>vlookup(D183,'mussel-ID_key'!A:B,2,false)</f>
        <v>gallo-OW-3</v>
      </c>
      <c r="H183" s="8" t="str">
        <f t="shared" si="2"/>
        <v>gallo-OW-3-mantle</v>
      </c>
      <c r="I183" s="4">
        <f>vlookup(D183,'mussel-ID_key'!A:C,3,false)</f>
        <v>1</v>
      </c>
      <c r="J183" s="3" t="s">
        <v>450</v>
      </c>
      <c r="L183" s="5"/>
      <c r="M183" s="5"/>
    </row>
    <row r="184">
      <c r="A184" s="2" t="s">
        <v>450</v>
      </c>
      <c r="B184" s="2">
        <v>6.0</v>
      </c>
      <c r="C184" s="4" t="str">
        <f t="shared" si="1"/>
        <v>gallo</v>
      </c>
      <c r="D184" s="5" t="str">
        <f t="shared" si="9"/>
        <v>G26</v>
      </c>
      <c r="E184" s="5" t="s">
        <v>526</v>
      </c>
      <c r="F184" s="2" t="s">
        <v>438</v>
      </c>
      <c r="G184" s="2" t="str">
        <f>vlookup(D184,'mussel-ID_key'!A:B,2,false)</f>
        <v>gallo-OW-3</v>
      </c>
      <c r="H184" s="8" t="str">
        <f t="shared" si="2"/>
        <v>gallo-OW-3-mantle</v>
      </c>
      <c r="I184" s="4">
        <f>vlookup(D184,'mussel-ID_key'!A:C,3,false)</f>
        <v>1</v>
      </c>
      <c r="J184" s="2" t="s">
        <v>450</v>
      </c>
      <c r="L184" s="5"/>
      <c r="M184" s="5"/>
    </row>
    <row r="185">
      <c r="A185" s="2" t="s">
        <v>450</v>
      </c>
      <c r="B185" s="2">
        <v>6.0</v>
      </c>
      <c r="C185" s="4" t="str">
        <f t="shared" si="1"/>
        <v>gallo</v>
      </c>
      <c r="D185" s="5" t="str">
        <f t="shared" si="9"/>
        <v>G65</v>
      </c>
      <c r="E185" s="5" t="s">
        <v>527</v>
      </c>
      <c r="F185" s="2" t="s">
        <v>438</v>
      </c>
      <c r="G185" s="2" t="str">
        <f>vlookup(D185,'mussel-ID_key'!A:B,2,false)</f>
        <v>gallo-OW-3</v>
      </c>
      <c r="H185" s="8" t="str">
        <f t="shared" si="2"/>
        <v>gallo-OW-3-mantle</v>
      </c>
      <c r="I185" s="4">
        <f>vlookup(D185,'mussel-ID_key'!A:C,3,false)</f>
        <v>0</v>
      </c>
      <c r="J185" s="2" t="s">
        <v>450</v>
      </c>
      <c r="L185" s="5"/>
      <c r="M185" s="5"/>
    </row>
    <row r="186">
      <c r="A186" s="2" t="s">
        <v>450</v>
      </c>
      <c r="B186" s="2">
        <v>6.0</v>
      </c>
      <c r="C186" s="4" t="str">
        <f t="shared" si="1"/>
        <v>gallo</v>
      </c>
      <c r="D186" s="5" t="str">
        <f t="shared" si="9"/>
        <v>G74</v>
      </c>
      <c r="E186" s="5" t="s">
        <v>528</v>
      </c>
      <c r="F186" s="2" t="s">
        <v>438</v>
      </c>
      <c r="G186" s="2" t="str">
        <f>vlookup(D186,'mussel-ID_key'!A:B,2,false)</f>
        <v>gallo-OW-3</v>
      </c>
      <c r="H186" s="8" t="str">
        <f t="shared" si="2"/>
        <v>gallo-OW-3-mantle</v>
      </c>
      <c r="I186" s="4">
        <f>vlookup(D186,'mussel-ID_key'!A:C,3,false)</f>
        <v>0</v>
      </c>
      <c r="J186" s="2" t="s">
        <v>450</v>
      </c>
      <c r="L186" s="5"/>
      <c r="M186" s="5"/>
    </row>
    <row r="187">
      <c r="A187" s="2" t="s">
        <v>450</v>
      </c>
      <c r="B187" s="2">
        <v>6.0</v>
      </c>
      <c r="C187" s="4" t="str">
        <f t="shared" si="1"/>
        <v>gallo</v>
      </c>
      <c r="D187" s="5" t="str">
        <f t="shared" si="9"/>
        <v>G75</v>
      </c>
      <c r="E187" s="5" t="s">
        <v>529</v>
      </c>
      <c r="F187" s="2" t="s">
        <v>438</v>
      </c>
      <c r="G187" s="2" t="str">
        <f>vlookup(D187,'mussel-ID_key'!A:B,2,false)</f>
        <v>gallo-OW-3</v>
      </c>
      <c r="H187" s="8" t="str">
        <f t="shared" si="2"/>
        <v>gallo-OW-3-mantle</v>
      </c>
      <c r="I187" s="4">
        <f>vlookup(D187,'mussel-ID_key'!A:C,3,false)</f>
        <v>0</v>
      </c>
      <c r="J187" s="2" t="s">
        <v>450</v>
      </c>
      <c r="L187" s="5"/>
      <c r="M187" s="5"/>
    </row>
    <row r="188">
      <c r="A188" s="2" t="s">
        <v>450</v>
      </c>
      <c r="B188" s="2">
        <v>6.0</v>
      </c>
      <c r="C188" s="4" t="str">
        <f t="shared" si="1"/>
        <v>gallo</v>
      </c>
      <c r="D188" s="5" t="str">
        <f t="shared" si="9"/>
        <v>G76</v>
      </c>
      <c r="E188" s="5" t="s">
        <v>530</v>
      </c>
      <c r="F188" s="2" t="s">
        <v>438</v>
      </c>
      <c r="G188" s="2" t="str">
        <f>vlookup(D188,'mussel-ID_key'!A:B,2,false)</f>
        <v>gallo-OW-3</v>
      </c>
      <c r="H188" s="8" t="str">
        <f t="shared" si="2"/>
        <v>gallo-OW-3-mantle</v>
      </c>
      <c r="I188" s="4">
        <f>vlookup(D188,'mussel-ID_key'!A:C,3,false)</f>
        <v>0</v>
      </c>
      <c r="J188" s="2" t="s">
        <v>450</v>
      </c>
      <c r="L188" s="5"/>
      <c r="M188" s="5"/>
    </row>
    <row r="189">
      <c r="A189" s="2" t="s">
        <v>450</v>
      </c>
      <c r="B189" s="2">
        <v>6.0</v>
      </c>
      <c r="C189" s="4" t="str">
        <f t="shared" si="1"/>
        <v>gallo</v>
      </c>
      <c r="D189" s="5" t="str">
        <f t="shared" si="9"/>
        <v>G77</v>
      </c>
      <c r="E189" s="5" t="s">
        <v>531</v>
      </c>
      <c r="F189" s="2" t="s">
        <v>438</v>
      </c>
      <c r="G189" s="2" t="str">
        <f>vlookup(D189,'mussel-ID_key'!A:B,2,false)</f>
        <v>gallo-OW-3</v>
      </c>
      <c r="H189" s="8" t="str">
        <f t="shared" si="2"/>
        <v>gallo-OW-3-mantle</v>
      </c>
      <c r="I189" s="4">
        <f>vlookup(D189,'mussel-ID_key'!A:C,3,false)</f>
        <v>0</v>
      </c>
      <c r="J189" s="2" t="s">
        <v>450</v>
      </c>
      <c r="L189" s="5"/>
      <c r="M189" s="5"/>
    </row>
    <row r="190">
      <c r="A190" s="2" t="s">
        <v>450</v>
      </c>
      <c r="B190" s="2">
        <v>6.0</v>
      </c>
      <c r="C190" s="4" t="str">
        <f t="shared" si="1"/>
        <v>gallo</v>
      </c>
      <c r="D190" s="5" t="str">
        <f t="shared" si="9"/>
        <v>G78</v>
      </c>
      <c r="E190" s="5" t="s">
        <v>532</v>
      </c>
      <c r="F190" s="2" t="s">
        <v>438</v>
      </c>
      <c r="G190" s="2" t="str">
        <f>vlookup(D190,'mussel-ID_key'!A:B,2,false)</f>
        <v>gallo-OW-3</v>
      </c>
      <c r="H190" s="8" t="str">
        <f t="shared" si="2"/>
        <v>gallo-OW-3-mantle</v>
      </c>
      <c r="I190" s="4">
        <f>vlookup(D190,'mussel-ID_key'!A:C,3,false)</f>
        <v>0</v>
      </c>
      <c r="J190" s="2" t="s">
        <v>450</v>
      </c>
      <c r="L190" s="5"/>
      <c r="M190" s="5"/>
    </row>
    <row r="191">
      <c r="A191" s="2" t="s">
        <v>12</v>
      </c>
      <c r="B191" s="2">
        <v>1.0</v>
      </c>
      <c r="C191" s="4" t="str">
        <f t="shared" si="1"/>
        <v>tross</v>
      </c>
      <c r="D191" s="4" t="s">
        <v>197</v>
      </c>
      <c r="E191" s="4" t="s">
        <v>196</v>
      </c>
      <c r="F191" s="2" t="s">
        <v>14</v>
      </c>
      <c r="G191" s="2" t="str">
        <f>vlookup(D191,'mussel-ID_key'!A:B,2,false)</f>
        <v>tross-control-0</v>
      </c>
      <c r="H191" s="8" t="str">
        <f t="shared" si="2"/>
        <v>tross-control-0-foot</v>
      </c>
      <c r="I191" s="4">
        <f>vlookup(D191,'mussel-ID_key'!A:C,3,false)</f>
        <v>0</v>
      </c>
      <c r="J191" s="2" t="s">
        <v>12</v>
      </c>
      <c r="L191" s="5"/>
      <c r="M191" s="5"/>
    </row>
    <row r="192">
      <c r="A192" s="2" t="s">
        <v>12</v>
      </c>
      <c r="B192" s="2">
        <v>1.0</v>
      </c>
      <c r="C192" s="4" t="str">
        <f t="shared" si="1"/>
        <v>tross</v>
      </c>
      <c r="D192" s="4" t="s">
        <v>204</v>
      </c>
      <c r="E192" s="4" t="s">
        <v>203</v>
      </c>
      <c r="F192" s="2" t="s">
        <v>14</v>
      </c>
      <c r="G192" s="2" t="str">
        <f>vlookup(D192,'mussel-ID_key'!A:B,2,false)</f>
        <v>tross-control-0</v>
      </c>
      <c r="H192" s="8" t="str">
        <f t="shared" si="2"/>
        <v>tross-control-0-foot</v>
      </c>
      <c r="I192" s="4">
        <f>vlookup(D192,'mussel-ID_key'!A:C,3,false)</f>
        <v>0</v>
      </c>
      <c r="J192" s="2" t="s">
        <v>12</v>
      </c>
      <c r="L192" s="5"/>
      <c r="M192" s="5"/>
    </row>
    <row r="193">
      <c r="A193" s="2" t="s">
        <v>12</v>
      </c>
      <c r="B193" s="2">
        <v>1.0</v>
      </c>
      <c r="C193" s="4" t="str">
        <f t="shared" si="1"/>
        <v>tross</v>
      </c>
      <c r="D193" s="4" t="s">
        <v>207</v>
      </c>
      <c r="E193" s="4" t="s">
        <v>206</v>
      </c>
      <c r="F193" s="2" t="s">
        <v>14</v>
      </c>
      <c r="G193" s="2" t="str">
        <f>vlookup(D193,'mussel-ID_key'!A:B,2,false)</f>
        <v>tross-control-0</v>
      </c>
      <c r="H193" s="8" t="str">
        <f t="shared" si="2"/>
        <v>tross-control-0-foot</v>
      </c>
      <c r="I193" s="4">
        <f>vlookup(D193,'mussel-ID_key'!A:C,3,false)</f>
        <v>0</v>
      </c>
      <c r="J193" s="2" t="s">
        <v>12</v>
      </c>
      <c r="L193" s="5"/>
      <c r="M193" s="5"/>
    </row>
    <row r="194">
      <c r="A194" s="2" t="s">
        <v>12</v>
      </c>
      <c r="B194" s="2">
        <v>1.0</v>
      </c>
      <c r="C194" s="4" t="str">
        <f t="shared" si="1"/>
        <v>tross</v>
      </c>
      <c r="D194" s="4" t="s">
        <v>210</v>
      </c>
      <c r="E194" s="4" t="s">
        <v>209</v>
      </c>
      <c r="F194" s="2" t="s">
        <v>14</v>
      </c>
      <c r="G194" s="2" t="str">
        <f>vlookup(D194,'mussel-ID_key'!A:B,2,false)</f>
        <v>tross-control-0</v>
      </c>
      <c r="H194" s="8" t="str">
        <f t="shared" si="2"/>
        <v>tross-control-0-foot</v>
      </c>
      <c r="I194" s="4">
        <f>vlookup(D194,'mussel-ID_key'!A:C,3,false)</f>
        <v>0</v>
      </c>
      <c r="J194" s="2" t="s">
        <v>12</v>
      </c>
      <c r="L194" s="5"/>
      <c r="M194" s="5"/>
    </row>
    <row r="195">
      <c r="A195" s="2" t="s">
        <v>12</v>
      </c>
      <c r="B195" s="2">
        <v>1.0</v>
      </c>
      <c r="C195" s="4" t="str">
        <f t="shared" si="1"/>
        <v>tross</v>
      </c>
      <c r="D195" s="4" t="s">
        <v>213</v>
      </c>
      <c r="E195" s="4" t="s">
        <v>212</v>
      </c>
      <c r="F195" s="2" t="s">
        <v>14</v>
      </c>
      <c r="G195" s="2" t="str">
        <f>vlookup(D195,'mussel-ID_key'!A:B,2,false)</f>
        <v>tross-control-0</v>
      </c>
      <c r="H195" s="8" t="str">
        <f t="shared" si="2"/>
        <v>tross-control-0-foot</v>
      </c>
      <c r="I195" s="4">
        <f>vlookup(D195,'mussel-ID_key'!A:C,3,false)</f>
        <v>0</v>
      </c>
      <c r="J195" s="2" t="s">
        <v>12</v>
      </c>
      <c r="L195" s="5"/>
      <c r="M195" s="5"/>
    </row>
    <row r="196">
      <c r="A196" s="2" t="s">
        <v>12</v>
      </c>
      <c r="B196" s="2">
        <v>1.0</v>
      </c>
      <c r="C196" s="4" t="str">
        <f t="shared" si="1"/>
        <v>tross</v>
      </c>
      <c r="D196" s="4" t="s">
        <v>216</v>
      </c>
      <c r="E196" s="4" t="s">
        <v>215</v>
      </c>
      <c r="F196" s="2" t="s">
        <v>14</v>
      </c>
      <c r="G196" s="2" t="str">
        <f>vlookup(D196,'mussel-ID_key'!A:B,2,false)</f>
        <v>tross-control-0</v>
      </c>
      <c r="H196" s="8" t="str">
        <f t="shared" si="2"/>
        <v>tross-control-0-foot</v>
      </c>
      <c r="I196" s="4">
        <f>vlookup(D196,'mussel-ID_key'!A:C,3,false)</f>
        <v>0</v>
      </c>
      <c r="J196" s="2" t="s">
        <v>12</v>
      </c>
      <c r="L196" s="5"/>
      <c r="M196" s="5"/>
    </row>
    <row r="197">
      <c r="A197" s="2" t="s">
        <v>12</v>
      </c>
      <c r="B197" s="2">
        <v>1.0</v>
      </c>
      <c r="C197" s="4" t="str">
        <f t="shared" si="1"/>
        <v>tross</v>
      </c>
      <c r="D197" s="4" t="s">
        <v>219</v>
      </c>
      <c r="E197" s="4" t="s">
        <v>218</v>
      </c>
      <c r="F197" s="2" t="s">
        <v>14</v>
      </c>
      <c r="G197" s="2" t="str">
        <f>vlookup(D197,'mussel-ID_key'!A:B,2,false)</f>
        <v>tross-control-0</v>
      </c>
      <c r="H197" s="8" t="str">
        <f t="shared" si="2"/>
        <v>tross-control-0-foot</v>
      </c>
      <c r="I197" s="4">
        <f>vlookup(D197,'mussel-ID_key'!A:C,3,false)</f>
        <v>0</v>
      </c>
      <c r="J197" s="2" t="s">
        <v>12</v>
      </c>
      <c r="L197" s="5"/>
      <c r="M197" s="5"/>
    </row>
    <row r="198">
      <c r="A198" s="2" t="s">
        <v>12</v>
      </c>
      <c r="B198" s="2">
        <v>1.0</v>
      </c>
      <c r="C198" s="4" t="str">
        <f t="shared" si="1"/>
        <v>tross</v>
      </c>
      <c r="D198" s="4" t="s">
        <v>222</v>
      </c>
      <c r="E198" s="4" t="s">
        <v>221</v>
      </c>
      <c r="F198" s="2" t="s">
        <v>14</v>
      </c>
      <c r="G198" s="2" t="str">
        <f>vlookup(D198,'mussel-ID_key'!A:B,2,false)</f>
        <v>tross-control-0</v>
      </c>
      <c r="H198" s="8" t="str">
        <f t="shared" si="2"/>
        <v>tross-control-0-foot</v>
      </c>
      <c r="I198" s="4">
        <f>vlookup(D198,'mussel-ID_key'!A:C,3,false)</f>
        <v>0</v>
      </c>
      <c r="J198" s="2" t="s">
        <v>12</v>
      </c>
      <c r="L198" s="5"/>
      <c r="M198" s="5"/>
    </row>
    <row r="199">
      <c r="A199" s="2" t="s">
        <v>12</v>
      </c>
      <c r="B199" s="2">
        <v>1.0</v>
      </c>
      <c r="C199" s="4" t="str">
        <f t="shared" si="1"/>
        <v>tross</v>
      </c>
      <c r="D199" s="4" t="s">
        <v>225</v>
      </c>
      <c r="E199" s="4" t="s">
        <v>224</v>
      </c>
      <c r="F199" s="2" t="s">
        <v>14</v>
      </c>
      <c r="G199" s="2" t="str">
        <f>vlookup(D199,'mussel-ID_key'!A:B,2,false)</f>
        <v>tross-control-0</v>
      </c>
      <c r="H199" s="8" t="str">
        <f t="shared" si="2"/>
        <v>tross-control-0-foot</v>
      </c>
      <c r="I199" s="4">
        <f>vlookup(D199,'mussel-ID_key'!A:C,3,false)</f>
        <v>0</v>
      </c>
      <c r="J199" s="2" t="s">
        <v>12</v>
      </c>
      <c r="L199" s="5"/>
      <c r="M199" s="5"/>
    </row>
    <row r="200">
      <c r="A200" s="2" t="s">
        <v>12</v>
      </c>
      <c r="B200" s="2">
        <v>1.0</v>
      </c>
      <c r="C200" s="4" t="str">
        <f t="shared" si="1"/>
        <v>tross</v>
      </c>
      <c r="D200" s="4" t="s">
        <v>228</v>
      </c>
      <c r="E200" s="4" t="s">
        <v>227</v>
      </c>
      <c r="F200" s="2" t="s">
        <v>14</v>
      </c>
      <c r="G200" s="2" t="str">
        <f>vlookup(D200,'mussel-ID_key'!A:B,2,false)</f>
        <v>tross-control-0</v>
      </c>
      <c r="H200" s="8" t="str">
        <f t="shared" si="2"/>
        <v>tross-control-0-foot</v>
      </c>
      <c r="I200" s="4">
        <f>vlookup(D200,'mussel-ID_key'!A:C,3,false)</f>
        <v>0</v>
      </c>
      <c r="J200" s="2" t="s">
        <v>12</v>
      </c>
      <c r="L200" s="5"/>
      <c r="M200" s="5"/>
    </row>
    <row r="201">
      <c r="A201" s="2" t="s">
        <v>12</v>
      </c>
      <c r="B201" s="2">
        <v>1.0</v>
      </c>
      <c r="C201" s="4" t="str">
        <f t="shared" si="1"/>
        <v>tross</v>
      </c>
      <c r="D201" s="4" t="s">
        <v>231</v>
      </c>
      <c r="E201" s="4" t="s">
        <v>230</v>
      </c>
      <c r="F201" s="2" t="s">
        <v>14</v>
      </c>
      <c r="G201" s="2" t="str">
        <f>vlookup(D201,'mussel-ID_key'!A:B,2,false)</f>
        <v>tross-control-0</v>
      </c>
      <c r="H201" s="8" t="str">
        <f t="shared" si="2"/>
        <v>tross-control-0-foot</v>
      </c>
      <c r="I201" s="4">
        <f>vlookup(D201,'mussel-ID_key'!A:C,3,false)</f>
        <v>0</v>
      </c>
      <c r="J201" s="2" t="s">
        <v>12</v>
      </c>
      <c r="L201" s="5"/>
      <c r="M201" s="5"/>
    </row>
    <row r="202">
      <c r="A202" s="2" t="s">
        <v>12</v>
      </c>
      <c r="B202" s="2">
        <v>1.0</v>
      </c>
      <c r="C202" s="4" t="str">
        <f t="shared" si="1"/>
        <v>tross</v>
      </c>
      <c r="D202" s="4" t="s">
        <v>256</v>
      </c>
      <c r="E202" s="4" t="s">
        <v>255</v>
      </c>
      <c r="F202" s="2" t="s">
        <v>14</v>
      </c>
      <c r="G202" s="2" t="str">
        <f>vlookup(D202,'mussel-ID_key'!A:B,2,false)</f>
        <v>tross-control-0</v>
      </c>
      <c r="H202" s="8" t="str">
        <f t="shared" si="2"/>
        <v>tross-control-0-foot</v>
      </c>
      <c r="I202" s="4">
        <f>vlookup(D202,'mussel-ID_key'!A:C,3,false)</f>
        <v>0</v>
      </c>
      <c r="J202" s="2" t="s">
        <v>12</v>
      </c>
      <c r="L202" s="5"/>
      <c r="M202" s="5"/>
    </row>
    <row r="203">
      <c r="A203" s="2" t="s">
        <v>78</v>
      </c>
      <c r="B203" s="2">
        <v>7.0</v>
      </c>
      <c r="C203" s="4" t="str">
        <f t="shared" si="1"/>
        <v>tross</v>
      </c>
      <c r="D203" s="6" t="str">
        <f t="shared" ref="D203:D206" si="10">left(E203,3)</f>
        <v>T12</v>
      </c>
      <c r="E203" s="5" t="s">
        <v>258</v>
      </c>
      <c r="F203" s="7" t="s">
        <v>14</v>
      </c>
      <c r="G203" s="2" t="str">
        <f>vlookup(D203,'mussel-ID_key'!A:B,2,false)</f>
        <v>tross-control-0</v>
      </c>
      <c r="H203" s="8" t="str">
        <f t="shared" si="2"/>
        <v>tross-control-0-foot</v>
      </c>
      <c r="I203" s="4">
        <f>vlookup(D203,'mussel-ID_key'!A:C,3,false)</f>
        <v>0</v>
      </c>
      <c r="J203" s="2" t="s">
        <v>78</v>
      </c>
      <c r="L203" s="5"/>
      <c r="M203" s="5"/>
    </row>
    <row r="204">
      <c r="A204" s="2" t="s">
        <v>78</v>
      </c>
      <c r="B204" s="2">
        <v>7.0</v>
      </c>
      <c r="C204" s="4" t="str">
        <f t="shared" si="1"/>
        <v>tross</v>
      </c>
      <c r="D204" s="6" t="str">
        <f t="shared" si="10"/>
        <v>T12</v>
      </c>
      <c r="E204" s="5" t="s">
        <v>264</v>
      </c>
      <c r="F204" s="7" t="s">
        <v>14</v>
      </c>
      <c r="G204" s="2" t="str">
        <f>vlookup(D204,'mussel-ID_key'!A:B,2,false)</f>
        <v>tross-control-0</v>
      </c>
      <c r="H204" s="8" t="str">
        <f t="shared" si="2"/>
        <v>tross-control-0-foot</v>
      </c>
      <c r="I204" s="4">
        <f>vlookup(D204,'mussel-ID_key'!A:C,3,false)</f>
        <v>0</v>
      </c>
      <c r="J204" s="2" t="s">
        <v>78</v>
      </c>
      <c r="L204" s="5"/>
      <c r="M204" s="5"/>
    </row>
    <row r="205">
      <c r="A205" s="2" t="s">
        <v>78</v>
      </c>
      <c r="B205" s="2">
        <v>7.0</v>
      </c>
      <c r="C205" s="4" t="str">
        <f t="shared" si="1"/>
        <v>tross</v>
      </c>
      <c r="D205" s="6" t="str">
        <f t="shared" si="10"/>
        <v>T12</v>
      </c>
      <c r="E205" s="5" t="s">
        <v>267</v>
      </c>
      <c r="F205" s="7" t="s">
        <v>14</v>
      </c>
      <c r="G205" s="2" t="str">
        <f>vlookup(D205,'mussel-ID_key'!A:B,2,false)</f>
        <v>tross-control-0</v>
      </c>
      <c r="H205" s="8" t="str">
        <f t="shared" si="2"/>
        <v>tross-control-0-foot</v>
      </c>
      <c r="I205" s="4">
        <f>vlookup(D205,'mussel-ID_key'!A:C,3,false)</f>
        <v>0</v>
      </c>
      <c r="J205" s="2" t="s">
        <v>78</v>
      </c>
      <c r="L205" s="5"/>
      <c r="M205" s="5"/>
    </row>
    <row r="206">
      <c r="A206" s="2" t="s">
        <v>78</v>
      </c>
      <c r="B206" s="2">
        <v>7.0</v>
      </c>
      <c r="C206" s="4" t="str">
        <f t="shared" si="1"/>
        <v>tross</v>
      </c>
      <c r="D206" s="6" t="str">
        <f t="shared" si="10"/>
        <v>T12</v>
      </c>
      <c r="E206" s="5" t="s">
        <v>270</v>
      </c>
      <c r="F206" s="7" t="s">
        <v>14</v>
      </c>
      <c r="G206" s="2" t="str">
        <f>vlookup(D206,'mussel-ID_key'!A:B,2,false)</f>
        <v>tross-control-0</v>
      </c>
      <c r="H206" s="8" t="str">
        <f t="shared" si="2"/>
        <v>tross-control-0-foot</v>
      </c>
      <c r="I206" s="4">
        <f>vlookup(D206,'mussel-ID_key'!A:C,3,false)</f>
        <v>0</v>
      </c>
      <c r="J206" s="2" t="s">
        <v>78</v>
      </c>
      <c r="L206" s="5"/>
      <c r="M206" s="5"/>
    </row>
    <row r="207">
      <c r="A207" s="2" t="s">
        <v>12</v>
      </c>
      <c r="B207" s="2">
        <v>1.0</v>
      </c>
      <c r="C207" s="4" t="str">
        <f t="shared" si="1"/>
        <v>tross</v>
      </c>
      <c r="D207" s="4" t="s">
        <v>197</v>
      </c>
      <c r="E207" s="4" t="s">
        <v>201</v>
      </c>
      <c r="F207" s="2" t="s">
        <v>18</v>
      </c>
      <c r="G207" s="2" t="str">
        <f>vlookup(D207,'mussel-ID_key'!A:B,2,false)</f>
        <v>tross-control-0</v>
      </c>
      <c r="H207" s="8" t="str">
        <f t="shared" si="2"/>
        <v>tross-control-0-gill</v>
      </c>
      <c r="I207" s="4">
        <f>vlookup(D207,'mussel-ID_key'!A:C,3,false)</f>
        <v>0</v>
      </c>
      <c r="J207" s="2" t="s">
        <v>12</v>
      </c>
      <c r="L207" s="5"/>
      <c r="M207" s="5"/>
    </row>
    <row r="208">
      <c r="A208" s="2" t="s">
        <v>12</v>
      </c>
      <c r="B208" s="2">
        <v>1.0</v>
      </c>
      <c r="C208" s="4" t="str">
        <f t="shared" si="1"/>
        <v>tross</v>
      </c>
      <c r="D208" s="4" t="s">
        <v>204</v>
      </c>
      <c r="E208" s="4" t="s">
        <v>205</v>
      </c>
      <c r="F208" s="2" t="s">
        <v>18</v>
      </c>
      <c r="G208" s="2" t="str">
        <f>vlookup(D208,'mussel-ID_key'!A:B,2,false)</f>
        <v>tross-control-0</v>
      </c>
      <c r="H208" s="8" t="str">
        <f t="shared" si="2"/>
        <v>tross-control-0-gill</v>
      </c>
      <c r="I208" s="4">
        <f>vlookup(D208,'mussel-ID_key'!A:C,3,false)</f>
        <v>0</v>
      </c>
      <c r="J208" s="2" t="s">
        <v>12</v>
      </c>
      <c r="L208" s="5"/>
      <c r="M208" s="5"/>
    </row>
    <row r="209">
      <c r="A209" s="2" t="s">
        <v>12</v>
      </c>
      <c r="B209" s="2">
        <v>1.0</v>
      </c>
      <c r="C209" s="4" t="str">
        <f t="shared" si="1"/>
        <v>tross</v>
      </c>
      <c r="D209" s="4" t="s">
        <v>207</v>
      </c>
      <c r="E209" s="4" t="s">
        <v>208</v>
      </c>
      <c r="F209" s="2" t="s">
        <v>18</v>
      </c>
      <c r="G209" s="2" t="str">
        <f>vlookup(D209,'mussel-ID_key'!A:B,2,false)</f>
        <v>tross-control-0</v>
      </c>
      <c r="H209" s="8" t="str">
        <f t="shared" si="2"/>
        <v>tross-control-0-gill</v>
      </c>
      <c r="I209" s="4">
        <f>vlookup(D209,'mussel-ID_key'!A:C,3,false)</f>
        <v>0</v>
      </c>
      <c r="J209" s="2" t="s">
        <v>12</v>
      </c>
      <c r="L209" s="5"/>
      <c r="M209" s="5"/>
    </row>
    <row r="210">
      <c r="A210" s="2" t="s">
        <v>12</v>
      </c>
      <c r="B210" s="2">
        <v>1.0</v>
      </c>
      <c r="C210" s="4" t="str">
        <f t="shared" si="1"/>
        <v>tross</v>
      </c>
      <c r="D210" s="4" t="s">
        <v>210</v>
      </c>
      <c r="E210" s="4" t="s">
        <v>211</v>
      </c>
      <c r="F210" s="2" t="s">
        <v>18</v>
      </c>
      <c r="G210" s="2" t="str">
        <f>vlookup(D210,'mussel-ID_key'!A:B,2,false)</f>
        <v>tross-control-0</v>
      </c>
      <c r="H210" s="8" t="str">
        <f t="shared" si="2"/>
        <v>tross-control-0-gill</v>
      </c>
      <c r="I210" s="4">
        <f>vlookup(D210,'mussel-ID_key'!A:C,3,false)</f>
        <v>0</v>
      </c>
      <c r="J210" s="2" t="s">
        <v>12</v>
      </c>
      <c r="L210" s="5"/>
      <c r="M210" s="5"/>
    </row>
    <row r="211">
      <c r="A211" s="2" t="s">
        <v>12</v>
      </c>
      <c r="B211" s="2">
        <v>1.0</v>
      </c>
      <c r="C211" s="4" t="str">
        <f t="shared" si="1"/>
        <v>tross</v>
      </c>
      <c r="D211" s="4" t="s">
        <v>213</v>
      </c>
      <c r="E211" s="4" t="s">
        <v>214</v>
      </c>
      <c r="F211" s="2" t="s">
        <v>18</v>
      </c>
      <c r="G211" s="2" t="str">
        <f>vlookup(D211,'mussel-ID_key'!A:B,2,false)</f>
        <v>tross-control-0</v>
      </c>
      <c r="H211" s="8" t="str">
        <f t="shared" si="2"/>
        <v>tross-control-0-gill</v>
      </c>
      <c r="I211" s="4">
        <f>vlookup(D211,'mussel-ID_key'!A:C,3,false)</f>
        <v>0</v>
      </c>
      <c r="J211" s="2" t="s">
        <v>12</v>
      </c>
      <c r="L211" s="5"/>
      <c r="M211" s="5"/>
    </row>
    <row r="212">
      <c r="A212" s="2" t="s">
        <v>12</v>
      </c>
      <c r="B212" s="2">
        <v>1.0</v>
      </c>
      <c r="C212" s="4" t="str">
        <f t="shared" si="1"/>
        <v>tross</v>
      </c>
      <c r="D212" s="4" t="s">
        <v>216</v>
      </c>
      <c r="E212" s="4" t="s">
        <v>217</v>
      </c>
      <c r="F212" s="2" t="s">
        <v>18</v>
      </c>
      <c r="G212" s="2" t="str">
        <f>vlookup(D212,'mussel-ID_key'!A:B,2,false)</f>
        <v>tross-control-0</v>
      </c>
      <c r="H212" s="8" t="str">
        <f t="shared" si="2"/>
        <v>tross-control-0-gill</v>
      </c>
      <c r="I212" s="4">
        <f>vlookup(D212,'mussel-ID_key'!A:C,3,false)</f>
        <v>0</v>
      </c>
      <c r="J212" s="2" t="s">
        <v>12</v>
      </c>
      <c r="L212" s="5"/>
      <c r="M212" s="5"/>
    </row>
    <row r="213">
      <c r="A213" s="2" t="s">
        <v>12</v>
      </c>
      <c r="B213" s="2">
        <v>1.0</v>
      </c>
      <c r="C213" s="4" t="str">
        <f t="shared" si="1"/>
        <v>tross</v>
      </c>
      <c r="D213" s="4" t="s">
        <v>219</v>
      </c>
      <c r="E213" s="4" t="s">
        <v>220</v>
      </c>
      <c r="F213" s="2" t="s">
        <v>18</v>
      </c>
      <c r="G213" s="2" t="str">
        <f>vlookup(D213,'mussel-ID_key'!A:B,2,false)</f>
        <v>tross-control-0</v>
      </c>
      <c r="H213" s="8" t="str">
        <f t="shared" si="2"/>
        <v>tross-control-0-gill</v>
      </c>
      <c r="I213" s="4">
        <f>vlookup(D213,'mussel-ID_key'!A:C,3,false)</f>
        <v>0</v>
      </c>
      <c r="J213" s="2" t="s">
        <v>12</v>
      </c>
      <c r="L213" s="5"/>
      <c r="M213" s="5"/>
    </row>
    <row r="214">
      <c r="A214" s="2" t="s">
        <v>12</v>
      </c>
      <c r="B214" s="2">
        <v>1.0</v>
      </c>
      <c r="C214" s="4" t="str">
        <f t="shared" si="1"/>
        <v>tross</v>
      </c>
      <c r="D214" s="4" t="s">
        <v>222</v>
      </c>
      <c r="E214" s="4" t="s">
        <v>223</v>
      </c>
      <c r="F214" s="2" t="s">
        <v>18</v>
      </c>
      <c r="G214" s="2" t="str">
        <f>vlookup(D214,'mussel-ID_key'!A:B,2,false)</f>
        <v>tross-control-0</v>
      </c>
      <c r="H214" s="8" t="str">
        <f t="shared" si="2"/>
        <v>tross-control-0-gill</v>
      </c>
      <c r="I214" s="4">
        <f>vlookup(D214,'mussel-ID_key'!A:C,3,false)</f>
        <v>0</v>
      </c>
      <c r="J214" s="2" t="s">
        <v>12</v>
      </c>
      <c r="L214" s="5"/>
      <c r="M214" s="5"/>
    </row>
    <row r="215">
      <c r="A215" s="2" t="s">
        <v>12</v>
      </c>
      <c r="B215" s="2">
        <v>1.0</v>
      </c>
      <c r="C215" s="4" t="str">
        <f t="shared" si="1"/>
        <v>tross</v>
      </c>
      <c r="D215" s="4" t="s">
        <v>225</v>
      </c>
      <c r="E215" s="4" t="s">
        <v>226</v>
      </c>
      <c r="F215" s="2" t="s">
        <v>18</v>
      </c>
      <c r="G215" s="2" t="str">
        <f>vlookup(D215,'mussel-ID_key'!A:B,2,false)</f>
        <v>tross-control-0</v>
      </c>
      <c r="H215" s="8" t="str">
        <f t="shared" si="2"/>
        <v>tross-control-0-gill</v>
      </c>
      <c r="I215" s="4">
        <f>vlookup(D215,'mussel-ID_key'!A:C,3,false)</f>
        <v>0</v>
      </c>
      <c r="J215" s="2" t="s">
        <v>12</v>
      </c>
      <c r="L215" s="5"/>
      <c r="M215" s="5"/>
    </row>
    <row r="216">
      <c r="A216" s="2" t="s">
        <v>12</v>
      </c>
      <c r="B216" s="2">
        <v>1.0</v>
      </c>
      <c r="C216" s="4" t="str">
        <f t="shared" si="1"/>
        <v>tross</v>
      </c>
      <c r="D216" s="4" t="s">
        <v>228</v>
      </c>
      <c r="E216" s="4" t="s">
        <v>229</v>
      </c>
      <c r="F216" s="2" t="s">
        <v>18</v>
      </c>
      <c r="G216" s="2" t="str">
        <f>vlookup(D216,'mussel-ID_key'!A:B,2,false)</f>
        <v>tross-control-0</v>
      </c>
      <c r="H216" s="8" t="str">
        <f t="shared" si="2"/>
        <v>tross-control-0-gill</v>
      </c>
      <c r="I216" s="4">
        <f>vlookup(D216,'mussel-ID_key'!A:C,3,false)</f>
        <v>0</v>
      </c>
      <c r="J216" s="2" t="s">
        <v>12</v>
      </c>
      <c r="L216" s="5"/>
      <c r="M216" s="5"/>
    </row>
    <row r="217">
      <c r="A217" s="2" t="s">
        <v>12</v>
      </c>
      <c r="B217" s="2">
        <v>1.0</v>
      </c>
      <c r="C217" s="4" t="str">
        <f t="shared" si="1"/>
        <v>tross</v>
      </c>
      <c r="D217" s="4" t="s">
        <v>231</v>
      </c>
      <c r="E217" s="4" t="s">
        <v>232</v>
      </c>
      <c r="F217" s="2" t="s">
        <v>18</v>
      </c>
      <c r="G217" s="2" t="str">
        <f>vlookup(D217,'mussel-ID_key'!A:B,2,false)</f>
        <v>tross-control-0</v>
      </c>
      <c r="H217" s="8" t="str">
        <f t="shared" si="2"/>
        <v>tross-control-0-gill</v>
      </c>
      <c r="I217" s="4">
        <f>vlookup(D217,'mussel-ID_key'!A:C,3,false)</f>
        <v>0</v>
      </c>
      <c r="J217" s="2" t="s">
        <v>12</v>
      </c>
      <c r="L217" s="5"/>
      <c r="M217" s="5"/>
    </row>
    <row r="218">
      <c r="A218" s="2" t="s">
        <v>12</v>
      </c>
      <c r="B218" s="2">
        <v>1.0</v>
      </c>
      <c r="C218" s="4" t="str">
        <f t="shared" si="1"/>
        <v>tross</v>
      </c>
      <c r="D218" s="4" t="s">
        <v>256</v>
      </c>
      <c r="E218" s="4" t="s">
        <v>257</v>
      </c>
      <c r="F218" s="2" t="s">
        <v>18</v>
      </c>
      <c r="G218" s="2" t="str">
        <f>vlookup(D218,'mussel-ID_key'!A:B,2,false)</f>
        <v>tross-control-0</v>
      </c>
      <c r="H218" s="8" t="str">
        <f t="shared" si="2"/>
        <v>tross-control-0-gill</v>
      </c>
      <c r="I218" s="4">
        <f>vlookup(D218,'mussel-ID_key'!A:C,3,false)</f>
        <v>0</v>
      </c>
      <c r="J218" s="2" t="s">
        <v>12</v>
      </c>
      <c r="L218" s="5"/>
      <c r="M218" s="5"/>
    </row>
    <row r="219">
      <c r="A219" s="2" t="s">
        <v>60</v>
      </c>
      <c r="B219" s="2">
        <v>3.0</v>
      </c>
      <c r="C219" s="4" t="str">
        <f t="shared" si="1"/>
        <v>tross</v>
      </c>
      <c r="D219" s="5" t="str">
        <f t="shared" ref="D219:D222" si="11">left(E219,3)</f>
        <v>T05</v>
      </c>
      <c r="E219" s="5" t="s">
        <v>214</v>
      </c>
      <c r="F219" s="5" t="s">
        <v>18</v>
      </c>
      <c r="G219" s="2" t="str">
        <f>vlookup(D219,'mussel-ID_key'!A:B,2,false)</f>
        <v>tross-control-0</v>
      </c>
      <c r="H219" s="8" t="str">
        <f t="shared" si="2"/>
        <v>tross-control-0-gill</v>
      </c>
      <c r="I219" s="4">
        <f>vlookup(D219,'mussel-ID_key'!A:C,3,false)</f>
        <v>0</v>
      </c>
      <c r="J219" s="2" t="s">
        <v>60</v>
      </c>
      <c r="L219" s="5"/>
      <c r="M219" s="5"/>
    </row>
    <row r="220">
      <c r="A220" s="2" t="s">
        <v>60</v>
      </c>
      <c r="B220" s="2">
        <v>3.0</v>
      </c>
      <c r="C220" s="4" t="str">
        <f t="shared" si="1"/>
        <v>tross</v>
      </c>
      <c r="D220" s="5" t="str">
        <f t="shared" si="11"/>
        <v>T10</v>
      </c>
      <c r="E220" s="5" t="s">
        <v>229</v>
      </c>
      <c r="F220" s="5" t="s">
        <v>18</v>
      </c>
      <c r="G220" s="2" t="str">
        <f>vlookup(D220,'mussel-ID_key'!A:B,2,false)</f>
        <v>tross-control-0</v>
      </c>
      <c r="H220" s="8" t="str">
        <f t="shared" si="2"/>
        <v>tross-control-0-gill</v>
      </c>
      <c r="I220" s="4">
        <f>vlookup(D220,'mussel-ID_key'!A:C,3,false)</f>
        <v>0</v>
      </c>
      <c r="J220" s="2" t="s">
        <v>60</v>
      </c>
      <c r="L220" s="5"/>
      <c r="M220" s="5"/>
    </row>
    <row r="221">
      <c r="A221" s="2" t="s">
        <v>60</v>
      </c>
      <c r="B221" s="2">
        <v>3.0</v>
      </c>
      <c r="C221" s="4" t="str">
        <f t="shared" si="1"/>
        <v>tross</v>
      </c>
      <c r="D221" s="5" t="str">
        <f t="shared" si="11"/>
        <v>T11</v>
      </c>
      <c r="E221" s="5" t="s">
        <v>232</v>
      </c>
      <c r="F221" s="5" t="s">
        <v>18</v>
      </c>
      <c r="G221" s="2" t="str">
        <f>vlookup(D221,'mussel-ID_key'!A:B,2,false)</f>
        <v>tross-control-0</v>
      </c>
      <c r="H221" s="8" t="str">
        <f t="shared" si="2"/>
        <v>tross-control-0-gill</v>
      </c>
      <c r="I221" s="4">
        <f>vlookup(D221,'mussel-ID_key'!A:C,3,false)</f>
        <v>0</v>
      </c>
      <c r="J221" s="2" t="s">
        <v>60</v>
      </c>
      <c r="L221" s="5"/>
      <c r="M221" s="5"/>
    </row>
    <row r="222">
      <c r="A222" s="2" t="s">
        <v>60</v>
      </c>
      <c r="B222" s="2">
        <v>3.0</v>
      </c>
      <c r="C222" s="4" t="str">
        <f t="shared" si="1"/>
        <v>tross</v>
      </c>
      <c r="D222" s="5" t="str">
        <f t="shared" si="11"/>
        <v>T12</v>
      </c>
      <c r="E222" s="5" t="s">
        <v>257</v>
      </c>
      <c r="F222" s="5" t="s">
        <v>18</v>
      </c>
      <c r="G222" s="2" t="str">
        <f>vlookup(D222,'mussel-ID_key'!A:B,2,false)</f>
        <v>tross-control-0</v>
      </c>
      <c r="H222" s="8" t="str">
        <f t="shared" si="2"/>
        <v>tross-control-0-gill</v>
      </c>
      <c r="I222" s="4">
        <f>vlookup(D222,'mussel-ID_key'!A:C,3,false)</f>
        <v>0</v>
      </c>
      <c r="J222" s="2" t="s">
        <v>60</v>
      </c>
      <c r="L222" s="5"/>
      <c r="M222" s="5"/>
    </row>
    <row r="223">
      <c r="A223" s="2" t="s">
        <v>12</v>
      </c>
      <c r="B223" s="2">
        <v>1.0</v>
      </c>
      <c r="C223" s="4" t="str">
        <f t="shared" si="1"/>
        <v>tross</v>
      </c>
      <c r="D223" s="4" t="s">
        <v>197</v>
      </c>
      <c r="E223" s="4" t="s">
        <v>533</v>
      </c>
      <c r="F223" s="2" t="s">
        <v>438</v>
      </c>
      <c r="G223" s="2" t="str">
        <f>vlookup(D223,'mussel-ID_key'!A:B,2,false)</f>
        <v>tross-control-0</v>
      </c>
      <c r="H223" s="8" t="str">
        <f t="shared" si="2"/>
        <v>tross-control-0-mantle</v>
      </c>
      <c r="I223" s="4">
        <f>vlookup(D223,'mussel-ID_key'!A:C,3,false)</f>
        <v>0</v>
      </c>
      <c r="J223" s="2" t="s">
        <v>12</v>
      </c>
      <c r="L223" s="5"/>
      <c r="M223" s="5"/>
    </row>
    <row r="224">
      <c r="A224" s="2" t="s">
        <v>12</v>
      </c>
      <c r="B224" s="2">
        <v>1.0</v>
      </c>
      <c r="C224" s="4" t="str">
        <f t="shared" si="1"/>
        <v>tross</v>
      </c>
      <c r="D224" s="4" t="s">
        <v>204</v>
      </c>
      <c r="E224" s="4" t="s">
        <v>534</v>
      </c>
      <c r="F224" s="2" t="s">
        <v>438</v>
      </c>
      <c r="G224" s="2" t="str">
        <f>vlookup(D224,'mussel-ID_key'!A:B,2,false)</f>
        <v>tross-control-0</v>
      </c>
      <c r="H224" s="8" t="str">
        <f t="shared" si="2"/>
        <v>tross-control-0-mantle</v>
      </c>
      <c r="I224" s="4">
        <f>vlookup(D224,'mussel-ID_key'!A:C,3,false)</f>
        <v>0</v>
      </c>
      <c r="J224" s="2" t="s">
        <v>12</v>
      </c>
      <c r="L224" s="5"/>
      <c r="M224" s="5"/>
    </row>
    <row r="225">
      <c r="A225" s="2" t="s">
        <v>12</v>
      </c>
      <c r="B225" s="2">
        <v>1.0</v>
      </c>
      <c r="C225" s="4" t="str">
        <f t="shared" si="1"/>
        <v>tross</v>
      </c>
      <c r="D225" s="4" t="s">
        <v>207</v>
      </c>
      <c r="E225" s="4" t="s">
        <v>535</v>
      </c>
      <c r="F225" s="2" t="s">
        <v>438</v>
      </c>
      <c r="G225" s="2" t="str">
        <f>vlookup(D225,'mussel-ID_key'!A:B,2,false)</f>
        <v>tross-control-0</v>
      </c>
      <c r="H225" s="8" t="str">
        <f t="shared" si="2"/>
        <v>tross-control-0-mantle</v>
      </c>
      <c r="I225" s="4">
        <f>vlookup(D225,'mussel-ID_key'!A:C,3,false)</f>
        <v>0</v>
      </c>
      <c r="J225" s="2" t="s">
        <v>12</v>
      </c>
      <c r="L225" s="5"/>
      <c r="M225" s="5"/>
    </row>
    <row r="226">
      <c r="A226" s="2" t="s">
        <v>12</v>
      </c>
      <c r="B226" s="2">
        <v>1.0</v>
      </c>
      <c r="C226" s="4" t="str">
        <f t="shared" si="1"/>
        <v>tross</v>
      </c>
      <c r="D226" s="4" t="s">
        <v>210</v>
      </c>
      <c r="E226" s="4" t="s">
        <v>536</v>
      </c>
      <c r="F226" s="2" t="s">
        <v>438</v>
      </c>
      <c r="G226" s="2" t="str">
        <f>vlookup(D226,'mussel-ID_key'!A:B,2,false)</f>
        <v>tross-control-0</v>
      </c>
      <c r="H226" s="8" t="str">
        <f t="shared" si="2"/>
        <v>tross-control-0-mantle</v>
      </c>
      <c r="I226" s="4">
        <f>vlookup(D226,'mussel-ID_key'!A:C,3,false)</f>
        <v>0</v>
      </c>
      <c r="J226" s="2" t="s">
        <v>12</v>
      </c>
      <c r="L226" s="5"/>
      <c r="M226" s="5"/>
    </row>
    <row r="227">
      <c r="A227" s="2" t="s">
        <v>12</v>
      </c>
      <c r="B227" s="2">
        <v>1.0</v>
      </c>
      <c r="C227" s="4" t="str">
        <f t="shared" si="1"/>
        <v>tross</v>
      </c>
      <c r="D227" s="4" t="s">
        <v>213</v>
      </c>
      <c r="E227" s="4" t="s">
        <v>537</v>
      </c>
      <c r="F227" s="2" t="s">
        <v>438</v>
      </c>
      <c r="G227" s="2" t="str">
        <f>vlookup(D227,'mussel-ID_key'!A:B,2,false)</f>
        <v>tross-control-0</v>
      </c>
      <c r="H227" s="8" t="str">
        <f t="shared" si="2"/>
        <v>tross-control-0-mantle</v>
      </c>
      <c r="I227" s="4">
        <f>vlookup(D227,'mussel-ID_key'!A:C,3,false)</f>
        <v>0</v>
      </c>
      <c r="J227" s="2" t="s">
        <v>12</v>
      </c>
      <c r="L227" s="5"/>
      <c r="M227" s="5"/>
    </row>
    <row r="228">
      <c r="A228" s="2" t="s">
        <v>12</v>
      </c>
      <c r="B228" s="2">
        <v>1.0</v>
      </c>
      <c r="C228" s="4" t="str">
        <f t="shared" si="1"/>
        <v>tross</v>
      </c>
      <c r="D228" s="4" t="s">
        <v>216</v>
      </c>
      <c r="E228" s="4" t="s">
        <v>538</v>
      </c>
      <c r="F228" s="2" t="s">
        <v>438</v>
      </c>
      <c r="G228" s="2" t="str">
        <f>vlookup(D228,'mussel-ID_key'!A:B,2,false)</f>
        <v>tross-control-0</v>
      </c>
      <c r="H228" s="8" t="str">
        <f t="shared" si="2"/>
        <v>tross-control-0-mantle</v>
      </c>
      <c r="I228" s="4">
        <f>vlookup(D228,'mussel-ID_key'!A:C,3,false)</f>
        <v>0</v>
      </c>
      <c r="J228" s="2" t="s">
        <v>12</v>
      </c>
      <c r="L228" s="5"/>
      <c r="M228" s="5"/>
    </row>
    <row r="229">
      <c r="A229" s="2" t="s">
        <v>12</v>
      </c>
      <c r="B229" s="2">
        <v>1.0</v>
      </c>
      <c r="C229" s="4" t="str">
        <f t="shared" si="1"/>
        <v>tross</v>
      </c>
      <c r="D229" s="4" t="s">
        <v>219</v>
      </c>
      <c r="E229" s="4" t="s">
        <v>539</v>
      </c>
      <c r="F229" s="2" t="s">
        <v>438</v>
      </c>
      <c r="G229" s="2" t="str">
        <f>vlookup(D229,'mussel-ID_key'!A:B,2,false)</f>
        <v>tross-control-0</v>
      </c>
      <c r="H229" s="8" t="str">
        <f t="shared" si="2"/>
        <v>tross-control-0-mantle</v>
      </c>
      <c r="I229" s="4">
        <f>vlookup(D229,'mussel-ID_key'!A:C,3,false)</f>
        <v>0</v>
      </c>
      <c r="J229" s="2" t="s">
        <v>12</v>
      </c>
      <c r="L229" s="5"/>
      <c r="M229" s="5"/>
    </row>
    <row r="230">
      <c r="A230" s="2" t="s">
        <v>12</v>
      </c>
      <c r="B230" s="2">
        <v>1.0</v>
      </c>
      <c r="C230" s="4" t="str">
        <f t="shared" si="1"/>
        <v>tross</v>
      </c>
      <c r="D230" s="4" t="s">
        <v>222</v>
      </c>
      <c r="E230" s="4" t="s">
        <v>540</v>
      </c>
      <c r="F230" s="2" t="s">
        <v>438</v>
      </c>
      <c r="G230" s="2" t="str">
        <f>vlookup(D230,'mussel-ID_key'!A:B,2,false)</f>
        <v>tross-control-0</v>
      </c>
      <c r="H230" s="8" t="str">
        <f t="shared" si="2"/>
        <v>tross-control-0-mantle</v>
      </c>
      <c r="I230" s="4">
        <f>vlookup(D230,'mussel-ID_key'!A:C,3,false)</f>
        <v>0</v>
      </c>
      <c r="J230" s="2" t="s">
        <v>12</v>
      </c>
      <c r="L230" s="5"/>
      <c r="M230" s="5"/>
    </row>
    <row r="231">
      <c r="A231" s="2" t="s">
        <v>12</v>
      </c>
      <c r="B231" s="2">
        <v>1.0</v>
      </c>
      <c r="C231" s="4" t="str">
        <f t="shared" si="1"/>
        <v>tross</v>
      </c>
      <c r="D231" s="4" t="s">
        <v>225</v>
      </c>
      <c r="E231" s="4" t="s">
        <v>541</v>
      </c>
      <c r="F231" s="2" t="s">
        <v>438</v>
      </c>
      <c r="G231" s="2" t="str">
        <f>vlookup(D231,'mussel-ID_key'!A:B,2,false)</f>
        <v>tross-control-0</v>
      </c>
      <c r="H231" s="8" t="str">
        <f t="shared" si="2"/>
        <v>tross-control-0-mantle</v>
      </c>
      <c r="I231" s="4">
        <f>vlookup(D231,'mussel-ID_key'!A:C,3,false)</f>
        <v>0</v>
      </c>
      <c r="J231" s="2" t="s">
        <v>12</v>
      </c>
      <c r="L231" s="5"/>
      <c r="M231" s="5"/>
    </row>
    <row r="232">
      <c r="A232" s="2" t="s">
        <v>12</v>
      </c>
      <c r="B232" s="2">
        <v>1.0</v>
      </c>
      <c r="C232" s="4" t="str">
        <f t="shared" si="1"/>
        <v>tross</v>
      </c>
      <c r="D232" s="4" t="s">
        <v>228</v>
      </c>
      <c r="E232" s="4" t="s">
        <v>542</v>
      </c>
      <c r="F232" s="2" t="s">
        <v>438</v>
      </c>
      <c r="G232" s="2" t="str">
        <f>vlookup(D232,'mussel-ID_key'!A:B,2,false)</f>
        <v>tross-control-0</v>
      </c>
      <c r="H232" s="8" t="str">
        <f t="shared" si="2"/>
        <v>tross-control-0-mantle</v>
      </c>
      <c r="I232" s="4">
        <f>vlookup(D232,'mussel-ID_key'!A:C,3,false)</f>
        <v>0</v>
      </c>
      <c r="J232" s="2" t="s">
        <v>12</v>
      </c>
      <c r="L232" s="5"/>
      <c r="M232" s="5"/>
    </row>
    <row r="233">
      <c r="A233" s="2" t="s">
        <v>12</v>
      </c>
      <c r="B233" s="2">
        <v>1.0</v>
      </c>
      <c r="C233" s="4" t="str">
        <f t="shared" si="1"/>
        <v>tross</v>
      </c>
      <c r="D233" s="4" t="s">
        <v>231</v>
      </c>
      <c r="E233" s="4" t="s">
        <v>543</v>
      </c>
      <c r="F233" s="2" t="s">
        <v>438</v>
      </c>
      <c r="G233" s="2" t="str">
        <f>vlookup(D233,'mussel-ID_key'!A:B,2,false)</f>
        <v>tross-control-0</v>
      </c>
      <c r="H233" s="8" t="str">
        <f t="shared" si="2"/>
        <v>tross-control-0-mantle</v>
      </c>
      <c r="I233" s="4">
        <f>vlookup(D233,'mussel-ID_key'!A:C,3,false)</f>
        <v>0</v>
      </c>
      <c r="J233" s="2" t="s">
        <v>12</v>
      </c>
      <c r="L233" s="5"/>
      <c r="M233" s="5"/>
    </row>
    <row r="234">
      <c r="A234" s="2" t="s">
        <v>12</v>
      </c>
      <c r="B234" s="2">
        <v>1.0</v>
      </c>
      <c r="C234" s="4" t="str">
        <f t="shared" si="1"/>
        <v>tross</v>
      </c>
      <c r="D234" s="4" t="s">
        <v>256</v>
      </c>
      <c r="E234" s="4" t="s">
        <v>544</v>
      </c>
      <c r="F234" s="2" t="s">
        <v>438</v>
      </c>
      <c r="G234" s="2" t="str">
        <f>vlookup(D234,'mussel-ID_key'!A:B,2,false)</f>
        <v>tross-control-0</v>
      </c>
      <c r="H234" s="8" t="str">
        <f t="shared" si="2"/>
        <v>tross-control-0-mantle</v>
      </c>
      <c r="I234" s="4">
        <f>vlookup(D234,'mussel-ID_key'!A:C,3,false)</f>
        <v>0</v>
      </c>
      <c r="J234" s="2" t="s">
        <v>12</v>
      </c>
      <c r="L234" s="5"/>
      <c r="M234" s="5"/>
    </row>
    <row r="235">
      <c r="A235" s="2" t="s">
        <v>83</v>
      </c>
      <c r="B235" s="2">
        <v>5.0</v>
      </c>
      <c r="C235" s="4" t="str">
        <f t="shared" si="1"/>
        <v>tross</v>
      </c>
      <c r="D235" s="5" t="str">
        <f t="shared" ref="D235:D246" si="12">left(E235,4)</f>
        <v>T126</v>
      </c>
      <c r="E235" s="5" t="s">
        <v>262</v>
      </c>
      <c r="F235" s="2" t="s">
        <v>18</v>
      </c>
      <c r="G235" s="2" t="str">
        <f>vlookup(D235,'mussel-ID_key'!A:B,2,false)</f>
        <v>tross-control-3</v>
      </c>
      <c r="H235" s="8" t="str">
        <f t="shared" si="2"/>
        <v>tross-control-3-gill</v>
      </c>
      <c r="I235" s="4">
        <f>vlookup(D235,'mussel-ID_key'!A:C,3,false)</f>
        <v>0</v>
      </c>
      <c r="J235" s="2" t="s">
        <v>83</v>
      </c>
      <c r="L235" s="5"/>
      <c r="M235" s="5"/>
    </row>
    <row r="236">
      <c r="A236" s="2" t="s">
        <v>83</v>
      </c>
      <c r="B236" s="2">
        <v>5.0</v>
      </c>
      <c r="C236" s="4" t="str">
        <f t="shared" si="1"/>
        <v>tross</v>
      </c>
      <c r="D236" s="5" t="str">
        <f t="shared" si="12"/>
        <v>T127</v>
      </c>
      <c r="E236" s="5" t="s">
        <v>266</v>
      </c>
      <c r="F236" s="2" t="s">
        <v>18</v>
      </c>
      <c r="G236" s="2" t="str">
        <f>vlookup(D236,'mussel-ID_key'!A:B,2,false)</f>
        <v>tross-control-3</v>
      </c>
      <c r="H236" s="8" t="str">
        <f t="shared" si="2"/>
        <v>tross-control-3-gill</v>
      </c>
      <c r="I236" s="4">
        <f>vlookup(D236,'mussel-ID_key'!A:C,3,false)</f>
        <v>0</v>
      </c>
      <c r="J236" s="2" t="s">
        <v>83</v>
      </c>
      <c r="L236" s="5"/>
      <c r="M236" s="5"/>
    </row>
    <row r="237">
      <c r="A237" s="2" t="s">
        <v>83</v>
      </c>
      <c r="B237" s="2">
        <v>5.0</v>
      </c>
      <c r="C237" s="4" t="str">
        <f t="shared" si="1"/>
        <v>tross</v>
      </c>
      <c r="D237" s="5" t="str">
        <f t="shared" si="12"/>
        <v>T128</v>
      </c>
      <c r="E237" s="5" t="s">
        <v>269</v>
      </c>
      <c r="F237" s="2" t="s">
        <v>18</v>
      </c>
      <c r="G237" s="2" t="str">
        <f>vlookup(D237,'mussel-ID_key'!A:B,2,false)</f>
        <v>tross-control-3</v>
      </c>
      <c r="H237" s="8" t="str">
        <f t="shared" si="2"/>
        <v>tross-control-3-gill</v>
      </c>
      <c r="I237" s="4">
        <f>vlookup(D237,'mussel-ID_key'!A:C,3,false)</f>
        <v>0</v>
      </c>
      <c r="J237" s="2" t="s">
        <v>83</v>
      </c>
      <c r="L237" s="5"/>
      <c r="M237" s="5"/>
    </row>
    <row r="238">
      <c r="A238" s="2" t="s">
        <v>83</v>
      </c>
      <c r="B238" s="2">
        <v>5.0</v>
      </c>
      <c r="C238" s="4" t="str">
        <f t="shared" si="1"/>
        <v>tross</v>
      </c>
      <c r="D238" s="5" t="str">
        <f t="shared" si="12"/>
        <v>T129</v>
      </c>
      <c r="E238" s="5" t="s">
        <v>272</v>
      </c>
      <c r="F238" s="2" t="s">
        <v>18</v>
      </c>
      <c r="G238" s="2" t="str">
        <f>vlookup(D238,'mussel-ID_key'!A:B,2,false)</f>
        <v>tross-control-3</v>
      </c>
      <c r="H238" s="8" t="str">
        <f t="shared" si="2"/>
        <v>tross-control-3-gill</v>
      </c>
      <c r="I238" s="4">
        <f>vlookup(D238,'mussel-ID_key'!A:C,3,false)</f>
        <v>0</v>
      </c>
      <c r="J238" s="2" t="s">
        <v>83</v>
      </c>
      <c r="L238" s="5"/>
      <c r="M238" s="5"/>
    </row>
    <row r="239">
      <c r="A239" s="2" t="s">
        <v>83</v>
      </c>
      <c r="B239" s="2">
        <v>5.0</v>
      </c>
      <c r="C239" s="4" t="str">
        <f t="shared" si="1"/>
        <v>tross</v>
      </c>
      <c r="D239" s="5" t="str">
        <f t="shared" si="12"/>
        <v>T130</v>
      </c>
      <c r="E239" s="5" t="s">
        <v>275</v>
      </c>
      <c r="F239" s="2" t="s">
        <v>18</v>
      </c>
      <c r="G239" s="2" t="str">
        <f>vlookup(D239,'mussel-ID_key'!A:B,2,false)</f>
        <v>tross-control-3</v>
      </c>
      <c r="H239" s="8" t="str">
        <f t="shared" si="2"/>
        <v>tross-control-3-gill</v>
      </c>
      <c r="I239" s="4">
        <f>vlookup(D239,'mussel-ID_key'!A:C,3,false)</f>
        <v>0</v>
      </c>
      <c r="J239" s="2" t="s">
        <v>83</v>
      </c>
      <c r="L239" s="5"/>
      <c r="M239" s="5"/>
    </row>
    <row r="240">
      <c r="A240" s="2" t="s">
        <v>83</v>
      </c>
      <c r="B240" s="2">
        <v>5.0</v>
      </c>
      <c r="C240" s="4" t="str">
        <f t="shared" si="1"/>
        <v>tross</v>
      </c>
      <c r="D240" s="5" t="str">
        <f t="shared" si="12"/>
        <v>T131</v>
      </c>
      <c r="E240" s="5" t="s">
        <v>278</v>
      </c>
      <c r="F240" s="2" t="s">
        <v>18</v>
      </c>
      <c r="G240" s="2" t="str">
        <f>vlookup(D240,'mussel-ID_key'!A:B,2,false)</f>
        <v>tross-control-3</v>
      </c>
      <c r="H240" s="8" t="str">
        <f t="shared" si="2"/>
        <v>tross-control-3-gill</v>
      </c>
      <c r="I240" s="4">
        <f>vlookup(D240,'mussel-ID_key'!A:C,3,false)</f>
        <v>0</v>
      </c>
      <c r="J240" s="2" t="s">
        <v>83</v>
      </c>
      <c r="L240" s="5"/>
      <c r="M240" s="5"/>
    </row>
    <row r="241">
      <c r="A241" s="2" t="s">
        <v>83</v>
      </c>
      <c r="B241" s="2">
        <v>5.0</v>
      </c>
      <c r="C241" s="4" t="str">
        <f t="shared" si="1"/>
        <v>tross</v>
      </c>
      <c r="D241" s="5" t="str">
        <f t="shared" si="12"/>
        <v>T132</v>
      </c>
      <c r="E241" s="5" t="s">
        <v>281</v>
      </c>
      <c r="F241" s="2" t="s">
        <v>18</v>
      </c>
      <c r="G241" s="2" t="str">
        <f>vlookup(D241,'mussel-ID_key'!A:B,2,false)</f>
        <v>tross-control-3</v>
      </c>
      <c r="H241" s="8" t="str">
        <f t="shared" si="2"/>
        <v>tross-control-3-gill</v>
      </c>
      <c r="I241" s="4">
        <f>vlookup(D241,'mussel-ID_key'!A:C,3,false)</f>
        <v>0</v>
      </c>
      <c r="J241" s="2" t="s">
        <v>83</v>
      </c>
      <c r="L241" s="5"/>
      <c r="M241" s="5"/>
    </row>
    <row r="242">
      <c r="A242" s="2" t="s">
        <v>83</v>
      </c>
      <c r="B242" s="2">
        <v>5.0</v>
      </c>
      <c r="C242" s="4" t="str">
        <f t="shared" si="1"/>
        <v>tross</v>
      </c>
      <c r="D242" s="5" t="str">
        <f t="shared" si="12"/>
        <v>T133</v>
      </c>
      <c r="E242" s="5" t="s">
        <v>284</v>
      </c>
      <c r="F242" s="2" t="s">
        <v>18</v>
      </c>
      <c r="G242" s="2" t="str">
        <f>vlookup(D242,'mussel-ID_key'!A:B,2,false)</f>
        <v>tross-control-3</v>
      </c>
      <c r="H242" s="8" t="str">
        <f t="shared" si="2"/>
        <v>tross-control-3-gill</v>
      </c>
      <c r="I242" s="4">
        <f>vlookup(D242,'mussel-ID_key'!A:C,3,false)</f>
        <v>0</v>
      </c>
      <c r="J242" s="2" t="s">
        <v>83</v>
      </c>
      <c r="L242" s="5"/>
      <c r="M242" s="5"/>
    </row>
    <row r="243">
      <c r="A243" s="2" t="s">
        <v>83</v>
      </c>
      <c r="B243" s="2">
        <v>5.0</v>
      </c>
      <c r="C243" s="4" t="str">
        <f t="shared" si="1"/>
        <v>tross</v>
      </c>
      <c r="D243" s="5" t="str">
        <f t="shared" si="12"/>
        <v>T134</v>
      </c>
      <c r="E243" s="5" t="s">
        <v>287</v>
      </c>
      <c r="F243" s="2" t="s">
        <v>18</v>
      </c>
      <c r="G243" s="2" t="str">
        <f>vlookup(D243,'mussel-ID_key'!A:B,2,false)</f>
        <v>tross-control-3</v>
      </c>
      <c r="H243" s="8" t="str">
        <f t="shared" si="2"/>
        <v>tross-control-3-gill</v>
      </c>
      <c r="I243" s="4">
        <f>vlookup(D243,'mussel-ID_key'!A:C,3,false)</f>
        <v>0</v>
      </c>
      <c r="J243" s="2" t="s">
        <v>83</v>
      </c>
      <c r="L243" s="5"/>
      <c r="M243" s="5"/>
    </row>
    <row r="244">
      <c r="A244" s="2" t="s">
        <v>83</v>
      </c>
      <c r="B244" s="2">
        <v>5.0</v>
      </c>
      <c r="C244" s="4" t="str">
        <f t="shared" si="1"/>
        <v>tross</v>
      </c>
      <c r="D244" s="5" t="str">
        <f t="shared" si="12"/>
        <v>T135</v>
      </c>
      <c r="E244" s="5" t="s">
        <v>290</v>
      </c>
      <c r="F244" s="2" t="s">
        <v>18</v>
      </c>
      <c r="G244" s="2" t="str">
        <f>vlookup(D244,'mussel-ID_key'!A:B,2,false)</f>
        <v>tross-control-3</v>
      </c>
      <c r="H244" s="8" t="str">
        <f t="shared" si="2"/>
        <v>tross-control-3-gill</v>
      </c>
      <c r="I244" s="4">
        <f>vlookup(D244,'mussel-ID_key'!A:C,3,false)</f>
        <v>0</v>
      </c>
      <c r="J244" s="2" t="s">
        <v>83</v>
      </c>
      <c r="L244" s="5"/>
      <c r="M244" s="5"/>
    </row>
    <row r="245">
      <c r="A245" s="2" t="s">
        <v>83</v>
      </c>
      <c r="B245" s="2">
        <v>5.0</v>
      </c>
      <c r="C245" s="4" t="str">
        <f t="shared" si="1"/>
        <v>tross</v>
      </c>
      <c r="D245" s="5" t="str">
        <f t="shared" si="12"/>
        <v>T136</v>
      </c>
      <c r="E245" s="5" t="s">
        <v>293</v>
      </c>
      <c r="F245" s="2" t="s">
        <v>18</v>
      </c>
      <c r="G245" s="2" t="str">
        <f>vlookup(D245,'mussel-ID_key'!A:B,2,false)</f>
        <v>tross-control-3</v>
      </c>
      <c r="H245" s="8" t="str">
        <f t="shared" si="2"/>
        <v>tross-control-3-gill</v>
      </c>
      <c r="I245" s="4">
        <f>vlookup(D245,'mussel-ID_key'!A:C,3,false)</f>
        <v>0</v>
      </c>
      <c r="J245" s="2" t="s">
        <v>83</v>
      </c>
      <c r="L245" s="5"/>
      <c r="M245" s="5"/>
    </row>
    <row r="246">
      <c r="A246" s="2" t="s">
        <v>83</v>
      </c>
      <c r="B246" s="2">
        <v>5.0</v>
      </c>
      <c r="C246" s="4" t="str">
        <f t="shared" si="1"/>
        <v>tross</v>
      </c>
      <c r="D246" s="5" t="str">
        <f t="shared" si="12"/>
        <v>T137</v>
      </c>
      <c r="E246" s="5" t="s">
        <v>296</v>
      </c>
      <c r="F246" s="2" t="s">
        <v>18</v>
      </c>
      <c r="G246" s="2" t="str">
        <f>vlookup(D246,'mussel-ID_key'!A:B,2,false)</f>
        <v>tross-control-3</v>
      </c>
      <c r="H246" s="8" t="str">
        <f t="shared" si="2"/>
        <v>tross-control-3-gill</v>
      </c>
      <c r="I246" s="4">
        <f>vlookup(D246,'mussel-ID_key'!A:C,3,false)</f>
        <v>0</v>
      </c>
      <c r="J246" s="2" t="s">
        <v>83</v>
      </c>
      <c r="L246" s="5"/>
      <c r="M246" s="5"/>
    </row>
    <row r="247">
      <c r="A247" s="2" t="s">
        <v>78</v>
      </c>
      <c r="B247" s="2">
        <v>7.0</v>
      </c>
      <c r="C247" s="4" t="str">
        <f t="shared" si="1"/>
        <v>tross</v>
      </c>
      <c r="D247" s="5" t="s">
        <v>259</v>
      </c>
      <c r="E247" s="5" t="str">
        <f t="shared" ref="E247:E258" si="13">D247&amp;"-F"</f>
        <v>T126-F</v>
      </c>
      <c r="F247" s="2" t="s">
        <v>14</v>
      </c>
      <c r="G247" s="2" t="str">
        <f>vlookup(D247,'mussel-ID_key'!A:B,2,false)</f>
        <v>tross-control-3</v>
      </c>
      <c r="H247" s="8" t="str">
        <f t="shared" si="2"/>
        <v>tross-control-3-foot</v>
      </c>
      <c r="I247" s="4">
        <f>vlookup(D247,'mussel-ID_key'!A:C,3,false)</f>
        <v>0</v>
      </c>
      <c r="J247" s="2" t="s">
        <v>78</v>
      </c>
      <c r="L247" s="5"/>
      <c r="M247" s="5"/>
    </row>
    <row r="248">
      <c r="A248" s="2" t="s">
        <v>78</v>
      </c>
      <c r="B248" s="2">
        <v>7.0</v>
      </c>
      <c r="C248" s="4" t="str">
        <f t="shared" si="1"/>
        <v>tross</v>
      </c>
      <c r="D248" s="5" t="s">
        <v>265</v>
      </c>
      <c r="E248" s="5" t="str">
        <f t="shared" si="13"/>
        <v>T127-F</v>
      </c>
      <c r="F248" s="2" t="s">
        <v>14</v>
      </c>
      <c r="G248" s="2" t="str">
        <f>vlookup(D248,'mussel-ID_key'!A:B,2,false)</f>
        <v>tross-control-3</v>
      </c>
      <c r="H248" s="8" t="str">
        <f t="shared" si="2"/>
        <v>tross-control-3-foot</v>
      </c>
      <c r="I248" s="4">
        <f>vlookup(D248,'mussel-ID_key'!A:C,3,false)</f>
        <v>0</v>
      </c>
      <c r="J248" s="2" t="s">
        <v>78</v>
      </c>
      <c r="L248" s="5"/>
      <c r="M248" s="5"/>
    </row>
    <row r="249">
      <c r="A249" s="2" t="s">
        <v>78</v>
      </c>
      <c r="B249" s="2">
        <v>7.0</v>
      </c>
      <c r="C249" s="4" t="str">
        <f t="shared" si="1"/>
        <v>tross</v>
      </c>
      <c r="D249" s="5" t="s">
        <v>268</v>
      </c>
      <c r="E249" s="5" t="str">
        <f t="shared" si="13"/>
        <v>T128-F</v>
      </c>
      <c r="F249" s="2" t="s">
        <v>14</v>
      </c>
      <c r="G249" s="2" t="str">
        <f>vlookup(D249,'mussel-ID_key'!A:B,2,false)</f>
        <v>tross-control-3</v>
      </c>
      <c r="H249" s="8" t="str">
        <f t="shared" si="2"/>
        <v>tross-control-3-foot</v>
      </c>
      <c r="I249" s="4">
        <f>vlookup(D249,'mussel-ID_key'!A:C,3,false)</f>
        <v>0</v>
      </c>
      <c r="J249" s="2" t="s">
        <v>78</v>
      </c>
      <c r="L249" s="5"/>
      <c r="M249" s="5"/>
    </row>
    <row r="250">
      <c r="A250" s="2" t="s">
        <v>78</v>
      </c>
      <c r="B250" s="2">
        <v>7.0</v>
      </c>
      <c r="C250" s="4" t="str">
        <f t="shared" si="1"/>
        <v>tross</v>
      </c>
      <c r="D250" s="5" t="s">
        <v>271</v>
      </c>
      <c r="E250" s="5" t="str">
        <f t="shared" si="13"/>
        <v>T129-F</v>
      </c>
      <c r="F250" s="2" t="s">
        <v>14</v>
      </c>
      <c r="G250" s="2" t="str">
        <f>vlookup(D250,'mussel-ID_key'!A:B,2,false)</f>
        <v>tross-control-3</v>
      </c>
      <c r="H250" s="8" t="str">
        <f t="shared" si="2"/>
        <v>tross-control-3-foot</v>
      </c>
      <c r="I250" s="4">
        <f>vlookup(D250,'mussel-ID_key'!A:C,3,false)</f>
        <v>0</v>
      </c>
      <c r="J250" s="2" t="s">
        <v>78</v>
      </c>
      <c r="L250" s="5"/>
      <c r="M250" s="5"/>
    </row>
    <row r="251">
      <c r="A251" s="2" t="s">
        <v>78</v>
      </c>
      <c r="B251" s="2">
        <v>7.0</v>
      </c>
      <c r="C251" s="4" t="str">
        <f t="shared" si="1"/>
        <v>tross</v>
      </c>
      <c r="D251" s="5" t="s">
        <v>274</v>
      </c>
      <c r="E251" s="5" t="str">
        <f t="shared" si="13"/>
        <v>T130-F</v>
      </c>
      <c r="F251" s="2" t="s">
        <v>14</v>
      </c>
      <c r="G251" s="2" t="str">
        <f>vlookup(D251,'mussel-ID_key'!A:B,2,false)</f>
        <v>tross-control-3</v>
      </c>
      <c r="H251" s="8" t="str">
        <f t="shared" si="2"/>
        <v>tross-control-3-foot</v>
      </c>
      <c r="I251" s="4">
        <f>vlookup(D251,'mussel-ID_key'!A:C,3,false)</f>
        <v>0</v>
      </c>
      <c r="J251" s="2" t="s">
        <v>78</v>
      </c>
      <c r="L251" s="5"/>
      <c r="M251" s="5"/>
    </row>
    <row r="252">
      <c r="A252" s="2" t="s">
        <v>78</v>
      </c>
      <c r="B252" s="2">
        <v>7.0</v>
      </c>
      <c r="C252" s="4" t="str">
        <f t="shared" si="1"/>
        <v>tross</v>
      </c>
      <c r="D252" s="5" t="s">
        <v>277</v>
      </c>
      <c r="E252" s="5" t="str">
        <f t="shared" si="13"/>
        <v>T131-F</v>
      </c>
      <c r="F252" s="2" t="s">
        <v>14</v>
      </c>
      <c r="G252" s="2" t="str">
        <f>vlookup(D252,'mussel-ID_key'!A:B,2,false)</f>
        <v>tross-control-3</v>
      </c>
      <c r="H252" s="8" t="str">
        <f t="shared" si="2"/>
        <v>tross-control-3-foot</v>
      </c>
      <c r="I252" s="4">
        <f>vlookup(D252,'mussel-ID_key'!A:C,3,false)</f>
        <v>0</v>
      </c>
      <c r="J252" s="2" t="s">
        <v>78</v>
      </c>
      <c r="L252" s="5"/>
      <c r="M252" s="5"/>
    </row>
    <row r="253">
      <c r="A253" s="2" t="s">
        <v>78</v>
      </c>
      <c r="B253" s="2">
        <v>7.0</v>
      </c>
      <c r="C253" s="4" t="str">
        <f t="shared" si="1"/>
        <v>tross</v>
      </c>
      <c r="D253" s="5" t="s">
        <v>280</v>
      </c>
      <c r="E253" s="5" t="str">
        <f t="shared" si="13"/>
        <v>T132-F</v>
      </c>
      <c r="F253" s="2" t="s">
        <v>14</v>
      </c>
      <c r="G253" s="2" t="str">
        <f>vlookup(D253,'mussel-ID_key'!A:B,2,false)</f>
        <v>tross-control-3</v>
      </c>
      <c r="H253" s="8" t="str">
        <f t="shared" si="2"/>
        <v>tross-control-3-foot</v>
      </c>
      <c r="I253" s="4">
        <f>vlookup(D253,'mussel-ID_key'!A:C,3,false)</f>
        <v>0</v>
      </c>
      <c r="J253" s="2" t="s">
        <v>78</v>
      </c>
      <c r="L253" s="5"/>
      <c r="M253" s="5"/>
    </row>
    <row r="254">
      <c r="A254" s="2" t="s">
        <v>78</v>
      </c>
      <c r="B254" s="2">
        <v>7.0</v>
      </c>
      <c r="C254" s="4" t="str">
        <f t="shared" si="1"/>
        <v>tross</v>
      </c>
      <c r="D254" s="5" t="s">
        <v>283</v>
      </c>
      <c r="E254" s="5" t="str">
        <f t="shared" si="13"/>
        <v>T133-F</v>
      </c>
      <c r="F254" s="2" t="s">
        <v>14</v>
      </c>
      <c r="G254" s="2" t="str">
        <f>vlookup(D254,'mussel-ID_key'!A:B,2,false)</f>
        <v>tross-control-3</v>
      </c>
      <c r="H254" s="8" t="str">
        <f t="shared" si="2"/>
        <v>tross-control-3-foot</v>
      </c>
      <c r="I254" s="4">
        <f>vlookup(D254,'mussel-ID_key'!A:C,3,false)</f>
        <v>0</v>
      </c>
      <c r="J254" s="2" t="s">
        <v>78</v>
      </c>
      <c r="L254" s="5"/>
      <c r="M254" s="5"/>
    </row>
    <row r="255">
      <c r="A255" s="2" t="s">
        <v>78</v>
      </c>
      <c r="B255" s="2">
        <v>7.0</v>
      </c>
      <c r="C255" s="4" t="str">
        <f t="shared" si="1"/>
        <v>tross</v>
      </c>
      <c r="D255" s="5" t="s">
        <v>286</v>
      </c>
      <c r="E255" s="5" t="str">
        <f t="shared" si="13"/>
        <v>T134-F</v>
      </c>
      <c r="F255" s="2" t="s">
        <v>14</v>
      </c>
      <c r="G255" s="2" t="str">
        <f>vlookup(D255,'mussel-ID_key'!A:B,2,false)</f>
        <v>tross-control-3</v>
      </c>
      <c r="H255" s="8" t="str">
        <f t="shared" si="2"/>
        <v>tross-control-3-foot</v>
      </c>
      <c r="I255" s="4">
        <f>vlookup(D255,'mussel-ID_key'!A:C,3,false)</f>
        <v>0</v>
      </c>
      <c r="J255" s="2" t="s">
        <v>78</v>
      </c>
      <c r="L255" s="5"/>
      <c r="M255" s="5"/>
    </row>
    <row r="256">
      <c r="A256" s="2" t="s">
        <v>78</v>
      </c>
      <c r="B256" s="2">
        <v>7.0</v>
      </c>
      <c r="C256" s="4" t="str">
        <f t="shared" si="1"/>
        <v>tross</v>
      </c>
      <c r="D256" s="5" t="s">
        <v>289</v>
      </c>
      <c r="E256" s="5" t="str">
        <f t="shared" si="13"/>
        <v>T135-F</v>
      </c>
      <c r="F256" s="2" t="s">
        <v>14</v>
      </c>
      <c r="G256" s="2" t="str">
        <f>vlookup(D256,'mussel-ID_key'!A:B,2,false)</f>
        <v>tross-control-3</v>
      </c>
      <c r="H256" s="8" t="str">
        <f t="shared" si="2"/>
        <v>tross-control-3-foot</v>
      </c>
      <c r="I256" s="4">
        <f>vlookup(D256,'mussel-ID_key'!A:C,3,false)</f>
        <v>0</v>
      </c>
      <c r="J256" s="2" t="s">
        <v>78</v>
      </c>
      <c r="L256" s="5"/>
      <c r="M256" s="5"/>
    </row>
    <row r="257">
      <c r="A257" s="2" t="s">
        <v>78</v>
      </c>
      <c r="B257" s="2">
        <v>7.0</v>
      </c>
      <c r="C257" s="4" t="str">
        <f t="shared" si="1"/>
        <v>tross</v>
      </c>
      <c r="D257" s="5" t="s">
        <v>292</v>
      </c>
      <c r="E257" s="5" t="str">
        <f t="shared" si="13"/>
        <v>T136-F</v>
      </c>
      <c r="F257" s="2" t="s">
        <v>14</v>
      </c>
      <c r="G257" s="2" t="str">
        <f>vlookup(D257,'mussel-ID_key'!A:B,2,false)</f>
        <v>tross-control-3</v>
      </c>
      <c r="H257" s="8" t="str">
        <f t="shared" si="2"/>
        <v>tross-control-3-foot</v>
      </c>
      <c r="I257" s="4">
        <f>vlookup(D257,'mussel-ID_key'!A:C,3,false)</f>
        <v>0</v>
      </c>
      <c r="J257" s="2" t="s">
        <v>78</v>
      </c>
      <c r="L257" s="5"/>
      <c r="M257" s="5"/>
    </row>
    <row r="258">
      <c r="A258" s="2" t="s">
        <v>78</v>
      </c>
      <c r="B258" s="2">
        <v>7.0</v>
      </c>
      <c r="C258" s="4" t="str">
        <f t="shared" si="1"/>
        <v>tross</v>
      </c>
      <c r="D258" s="5" t="s">
        <v>295</v>
      </c>
      <c r="E258" s="5" t="str">
        <f t="shared" si="13"/>
        <v>T137-F</v>
      </c>
      <c r="F258" s="2" t="s">
        <v>14</v>
      </c>
      <c r="G258" s="2" t="str">
        <f>vlookup(D258,'mussel-ID_key'!A:B,2,false)</f>
        <v>tross-control-3</v>
      </c>
      <c r="H258" s="8" t="str">
        <f t="shared" si="2"/>
        <v>tross-control-3-foot</v>
      </c>
      <c r="I258" s="4">
        <f>vlookup(D258,'mussel-ID_key'!A:C,3,false)</f>
        <v>0</v>
      </c>
      <c r="J258" s="2" t="s">
        <v>78</v>
      </c>
      <c r="L258" s="5"/>
      <c r="M258" s="5"/>
    </row>
    <row r="259">
      <c r="A259" s="2" t="s">
        <v>450</v>
      </c>
      <c r="B259" s="2">
        <v>6.0</v>
      </c>
      <c r="C259" s="4" t="str">
        <f t="shared" si="1"/>
        <v>tross</v>
      </c>
      <c r="D259" s="5" t="str">
        <f t="shared" ref="D259:D306" si="14">left(E259,4)</f>
        <v>T126</v>
      </c>
      <c r="E259" s="5" t="s">
        <v>545</v>
      </c>
      <c r="F259" s="2" t="s">
        <v>438</v>
      </c>
      <c r="G259" s="2" t="str">
        <f>vlookup(D259,'mussel-ID_key'!A:B,2,false)</f>
        <v>tross-control-3</v>
      </c>
      <c r="H259" s="8" t="str">
        <f t="shared" si="2"/>
        <v>tross-control-3-mantle</v>
      </c>
      <c r="I259" s="4">
        <f>vlookup(D259,'mussel-ID_key'!A:C,3,false)</f>
        <v>0</v>
      </c>
      <c r="J259" s="2" t="s">
        <v>450</v>
      </c>
      <c r="L259" s="5"/>
      <c r="M259" s="5"/>
    </row>
    <row r="260">
      <c r="A260" s="2" t="s">
        <v>450</v>
      </c>
      <c r="B260" s="2">
        <v>6.0</v>
      </c>
      <c r="C260" s="4" t="str">
        <f t="shared" si="1"/>
        <v>tross</v>
      </c>
      <c r="D260" s="5" t="str">
        <f t="shared" si="14"/>
        <v>T127</v>
      </c>
      <c r="E260" s="5" t="s">
        <v>546</v>
      </c>
      <c r="F260" s="2" t="s">
        <v>438</v>
      </c>
      <c r="G260" s="2" t="str">
        <f>vlookup(D260,'mussel-ID_key'!A:B,2,false)</f>
        <v>tross-control-3</v>
      </c>
      <c r="H260" s="8" t="str">
        <f t="shared" si="2"/>
        <v>tross-control-3-mantle</v>
      </c>
      <c r="I260" s="4">
        <f>vlookup(D260,'mussel-ID_key'!A:C,3,false)</f>
        <v>0</v>
      </c>
      <c r="J260" s="2" t="s">
        <v>450</v>
      </c>
      <c r="L260" s="5"/>
      <c r="M260" s="5"/>
    </row>
    <row r="261">
      <c r="A261" s="2" t="s">
        <v>450</v>
      </c>
      <c r="B261" s="2">
        <v>6.0</v>
      </c>
      <c r="C261" s="4" t="str">
        <f t="shared" si="1"/>
        <v>tross</v>
      </c>
      <c r="D261" s="5" t="str">
        <f t="shared" si="14"/>
        <v>T128</v>
      </c>
      <c r="E261" s="5" t="s">
        <v>547</v>
      </c>
      <c r="F261" s="2" t="s">
        <v>438</v>
      </c>
      <c r="G261" s="2" t="str">
        <f>vlookup(D261,'mussel-ID_key'!A:B,2,false)</f>
        <v>tross-control-3</v>
      </c>
      <c r="H261" s="8" t="str">
        <f t="shared" si="2"/>
        <v>tross-control-3-mantle</v>
      </c>
      <c r="I261" s="4">
        <f>vlookup(D261,'mussel-ID_key'!A:C,3,false)</f>
        <v>0</v>
      </c>
      <c r="J261" s="2" t="s">
        <v>450</v>
      </c>
      <c r="L261" s="5"/>
      <c r="M261" s="5"/>
    </row>
    <row r="262">
      <c r="A262" s="2" t="s">
        <v>450</v>
      </c>
      <c r="B262" s="2">
        <v>6.0</v>
      </c>
      <c r="C262" s="4" t="str">
        <f t="shared" si="1"/>
        <v>tross</v>
      </c>
      <c r="D262" s="5" t="str">
        <f t="shared" si="14"/>
        <v>T129</v>
      </c>
      <c r="E262" s="5" t="s">
        <v>548</v>
      </c>
      <c r="F262" s="2" t="s">
        <v>438</v>
      </c>
      <c r="G262" s="2" t="str">
        <f>vlookup(D262,'mussel-ID_key'!A:B,2,false)</f>
        <v>tross-control-3</v>
      </c>
      <c r="H262" s="8" t="str">
        <f t="shared" si="2"/>
        <v>tross-control-3-mantle</v>
      </c>
      <c r="I262" s="4">
        <f>vlookup(D262,'mussel-ID_key'!A:C,3,false)</f>
        <v>0</v>
      </c>
      <c r="J262" s="2" t="s">
        <v>450</v>
      </c>
      <c r="L262" s="5"/>
      <c r="M262" s="5"/>
    </row>
    <row r="263">
      <c r="A263" s="2" t="s">
        <v>450</v>
      </c>
      <c r="B263" s="2">
        <v>6.0</v>
      </c>
      <c r="C263" s="4" t="str">
        <f t="shared" si="1"/>
        <v>tross</v>
      </c>
      <c r="D263" s="5" t="str">
        <f t="shared" si="14"/>
        <v>T130</v>
      </c>
      <c r="E263" s="5" t="s">
        <v>549</v>
      </c>
      <c r="F263" s="2" t="s">
        <v>438</v>
      </c>
      <c r="G263" s="2" t="str">
        <f>vlookup(D263,'mussel-ID_key'!A:B,2,false)</f>
        <v>tross-control-3</v>
      </c>
      <c r="H263" s="8" t="str">
        <f t="shared" si="2"/>
        <v>tross-control-3-mantle</v>
      </c>
      <c r="I263" s="4">
        <f>vlookup(D263,'mussel-ID_key'!A:C,3,false)</f>
        <v>0</v>
      </c>
      <c r="J263" s="2" t="s">
        <v>450</v>
      </c>
      <c r="L263" s="5"/>
      <c r="M263" s="5"/>
    </row>
    <row r="264">
      <c r="A264" s="2" t="s">
        <v>450</v>
      </c>
      <c r="B264" s="2">
        <v>6.0</v>
      </c>
      <c r="C264" s="4" t="str">
        <f t="shared" si="1"/>
        <v>tross</v>
      </c>
      <c r="D264" s="5" t="str">
        <f t="shared" si="14"/>
        <v>T131</v>
      </c>
      <c r="E264" s="5" t="s">
        <v>550</v>
      </c>
      <c r="F264" s="2" t="s">
        <v>438</v>
      </c>
      <c r="G264" s="2" t="str">
        <f>vlookup(D264,'mussel-ID_key'!A:B,2,false)</f>
        <v>tross-control-3</v>
      </c>
      <c r="H264" s="8" t="str">
        <f t="shared" si="2"/>
        <v>tross-control-3-mantle</v>
      </c>
      <c r="I264" s="4">
        <f>vlookup(D264,'mussel-ID_key'!A:C,3,false)</f>
        <v>0</v>
      </c>
      <c r="J264" s="2" t="s">
        <v>450</v>
      </c>
      <c r="L264" s="5"/>
      <c r="M264" s="5"/>
    </row>
    <row r="265">
      <c r="A265" s="2" t="s">
        <v>450</v>
      </c>
      <c r="B265" s="2">
        <v>6.0</v>
      </c>
      <c r="C265" s="4" t="str">
        <f t="shared" si="1"/>
        <v>tross</v>
      </c>
      <c r="D265" s="5" t="str">
        <f t="shared" si="14"/>
        <v>T132</v>
      </c>
      <c r="E265" s="5" t="s">
        <v>551</v>
      </c>
      <c r="F265" s="2" t="s">
        <v>438</v>
      </c>
      <c r="G265" s="2" t="str">
        <f>vlookup(D265,'mussel-ID_key'!A:B,2,false)</f>
        <v>tross-control-3</v>
      </c>
      <c r="H265" s="8" t="str">
        <f t="shared" si="2"/>
        <v>tross-control-3-mantle</v>
      </c>
      <c r="I265" s="4">
        <f>vlookup(D265,'mussel-ID_key'!A:C,3,false)</f>
        <v>0</v>
      </c>
      <c r="J265" s="2" t="s">
        <v>450</v>
      </c>
      <c r="L265" s="5"/>
      <c r="M265" s="5"/>
    </row>
    <row r="266">
      <c r="A266" s="2" t="s">
        <v>450</v>
      </c>
      <c r="B266" s="2">
        <v>6.0</v>
      </c>
      <c r="C266" s="4" t="str">
        <f t="shared" si="1"/>
        <v>tross</v>
      </c>
      <c r="D266" s="5" t="str">
        <f t="shared" si="14"/>
        <v>T133</v>
      </c>
      <c r="E266" s="5" t="s">
        <v>552</v>
      </c>
      <c r="F266" s="2" t="s">
        <v>438</v>
      </c>
      <c r="G266" s="2" t="str">
        <f>vlookup(D266,'mussel-ID_key'!A:B,2,false)</f>
        <v>tross-control-3</v>
      </c>
      <c r="H266" s="8" t="str">
        <f t="shared" si="2"/>
        <v>tross-control-3-mantle</v>
      </c>
      <c r="I266" s="4">
        <f>vlookup(D266,'mussel-ID_key'!A:C,3,false)</f>
        <v>0</v>
      </c>
      <c r="J266" s="2" t="s">
        <v>450</v>
      </c>
      <c r="L266" s="5"/>
      <c r="M266" s="5"/>
    </row>
    <row r="267">
      <c r="A267" s="2" t="s">
        <v>450</v>
      </c>
      <c r="B267" s="2">
        <v>6.0</v>
      </c>
      <c r="C267" s="4" t="str">
        <f t="shared" si="1"/>
        <v>tross</v>
      </c>
      <c r="D267" s="5" t="str">
        <f t="shared" si="14"/>
        <v>T134</v>
      </c>
      <c r="E267" s="5" t="s">
        <v>553</v>
      </c>
      <c r="F267" s="2" t="s">
        <v>438</v>
      </c>
      <c r="G267" s="2" t="str">
        <f>vlookup(D267,'mussel-ID_key'!A:B,2,false)</f>
        <v>tross-control-3</v>
      </c>
      <c r="H267" s="8" t="str">
        <f t="shared" si="2"/>
        <v>tross-control-3-mantle</v>
      </c>
      <c r="I267" s="4">
        <f>vlookup(D267,'mussel-ID_key'!A:C,3,false)</f>
        <v>0</v>
      </c>
      <c r="J267" s="2" t="s">
        <v>450</v>
      </c>
      <c r="L267" s="5"/>
      <c r="M267" s="5"/>
    </row>
    <row r="268">
      <c r="A268" s="2" t="s">
        <v>450</v>
      </c>
      <c r="B268" s="2">
        <v>6.0</v>
      </c>
      <c r="C268" s="4" t="str">
        <f t="shared" si="1"/>
        <v>tross</v>
      </c>
      <c r="D268" s="5" t="str">
        <f t="shared" si="14"/>
        <v>T135</v>
      </c>
      <c r="E268" s="5" t="s">
        <v>554</v>
      </c>
      <c r="F268" s="2" t="s">
        <v>438</v>
      </c>
      <c r="G268" s="2" t="str">
        <f>vlookup(D268,'mussel-ID_key'!A:B,2,false)</f>
        <v>tross-control-3</v>
      </c>
      <c r="H268" s="8" t="str">
        <f t="shared" si="2"/>
        <v>tross-control-3-mantle</v>
      </c>
      <c r="I268" s="4">
        <f>vlookup(D268,'mussel-ID_key'!A:C,3,false)</f>
        <v>0</v>
      </c>
      <c r="J268" s="2" t="s">
        <v>450</v>
      </c>
      <c r="L268" s="5"/>
      <c r="M268" s="5"/>
    </row>
    <row r="269">
      <c r="A269" s="2" t="s">
        <v>450</v>
      </c>
      <c r="B269" s="2">
        <v>6.0</v>
      </c>
      <c r="C269" s="4" t="str">
        <f t="shared" si="1"/>
        <v>tross</v>
      </c>
      <c r="D269" s="5" t="str">
        <f t="shared" si="14"/>
        <v>T136</v>
      </c>
      <c r="E269" s="5" t="s">
        <v>555</v>
      </c>
      <c r="F269" s="2" t="s">
        <v>438</v>
      </c>
      <c r="G269" s="2" t="str">
        <f>vlookup(D269,'mussel-ID_key'!A:B,2,false)</f>
        <v>tross-control-3</v>
      </c>
      <c r="H269" s="8" t="str">
        <f t="shared" si="2"/>
        <v>tross-control-3-mantle</v>
      </c>
      <c r="I269" s="4">
        <f>vlookup(D269,'mussel-ID_key'!A:C,3,false)</f>
        <v>0</v>
      </c>
      <c r="J269" s="2" t="s">
        <v>450</v>
      </c>
      <c r="L269" s="5"/>
      <c r="M269" s="5"/>
    </row>
    <row r="270">
      <c r="A270" s="2" t="s">
        <v>450</v>
      </c>
      <c r="B270" s="2">
        <v>6.0</v>
      </c>
      <c r="C270" s="4" t="str">
        <f t="shared" si="1"/>
        <v>tross</v>
      </c>
      <c r="D270" s="5" t="str">
        <f t="shared" si="14"/>
        <v>T137</v>
      </c>
      <c r="E270" s="5" t="s">
        <v>556</v>
      </c>
      <c r="F270" s="2" t="s">
        <v>438</v>
      </c>
      <c r="G270" s="2" t="str">
        <f>vlookup(D270,'mussel-ID_key'!A:B,2,false)</f>
        <v>tross-control-3</v>
      </c>
      <c r="H270" s="8" t="str">
        <f t="shared" si="2"/>
        <v>tross-control-3-mantle</v>
      </c>
      <c r="I270" s="4">
        <f>vlookup(D270,'mussel-ID_key'!A:C,3,false)</f>
        <v>0</v>
      </c>
      <c r="J270" s="2" t="s">
        <v>450</v>
      </c>
      <c r="L270" s="5"/>
      <c r="M270" s="5"/>
    </row>
    <row r="271">
      <c r="A271" s="2" t="s">
        <v>298</v>
      </c>
      <c r="B271" s="2">
        <v>8.0</v>
      </c>
      <c r="C271" s="4" t="str">
        <f t="shared" si="1"/>
        <v>tross</v>
      </c>
      <c r="D271" s="6" t="str">
        <f t="shared" si="14"/>
        <v>T143</v>
      </c>
      <c r="E271" s="5" t="s">
        <v>319</v>
      </c>
      <c r="F271" s="2" t="s">
        <v>14</v>
      </c>
      <c r="G271" s="2" t="str">
        <f>vlookup(D271,'mussel-ID_key'!A:B,2,false)</f>
        <v>tross-desiccation-24h</v>
      </c>
      <c r="H271" s="8" t="str">
        <f t="shared" si="2"/>
        <v>tross-desiccation-24h-foot</v>
      </c>
      <c r="I271" s="4">
        <f>vlookup(D271,'mussel-ID_key'!A:C,3,false)</f>
        <v>0</v>
      </c>
      <c r="J271" s="2" t="s">
        <v>298</v>
      </c>
      <c r="L271" s="5"/>
      <c r="M271" s="5"/>
    </row>
    <row r="272">
      <c r="A272" s="2" t="s">
        <v>298</v>
      </c>
      <c r="B272" s="2">
        <v>8.0</v>
      </c>
      <c r="C272" s="4" t="str">
        <f t="shared" si="1"/>
        <v>tross</v>
      </c>
      <c r="D272" s="6" t="str">
        <f t="shared" si="14"/>
        <v>T149</v>
      </c>
      <c r="E272" s="5" t="s">
        <v>337</v>
      </c>
      <c r="F272" s="2" t="s">
        <v>14</v>
      </c>
      <c r="G272" s="2" t="str">
        <f>vlookup(D272,'mussel-ID_key'!A:B,2,false)</f>
        <v>tross-desiccation-24h</v>
      </c>
      <c r="H272" s="8" t="str">
        <f t="shared" si="2"/>
        <v>tross-desiccation-24h-foot</v>
      </c>
      <c r="I272" s="4">
        <f>vlookup(D272,'mussel-ID_key'!A:C,3,false)</f>
        <v>0</v>
      </c>
      <c r="J272" s="2" t="s">
        <v>298</v>
      </c>
      <c r="L272" s="5"/>
      <c r="M272" s="5"/>
    </row>
    <row r="273">
      <c r="A273" s="2" t="s">
        <v>298</v>
      </c>
      <c r="B273" s="2">
        <v>8.0</v>
      </c>
      <c r="C273" s="4" t="str">
        <f t="shared" si="1"/>
        <v>tross</v>
      </c>
      <c r="D273" s="6" t="str">
        <f t="shared" si="14"/>
        <v>T147</v>
      </c>
      <c r="E273" s="5" t="s">
        <v>331</v>
      </c>
      <c r="F273" s="2" t="s">
        <v>14</v>
      </c>
      <c r="G273" s="2" t="str">
        <f>vlookup(D273,'mussel-ID_key'!A:B,2,false)</f>
        <v>tross-desiccation-24h</v>
      </c>
      <c r="H273" s="8" t="str">
        <f t="shared" si="2"/>
        <v>tross-desiccation-24h-foot</v>
      </c>
      <c r="I273" s="4">
        <f>vlookup(D273,'mussel-ID_key'!A:C,3,false)</f>
        <v>0</v>
      </c>
      <c r="J273" s="2" t="s">
        <v>298</v>
      </c>
      <c r="L273" s="5"/>
      <c r="M273" s="5"/>
    </row>
    <row r="274">
      <c r="A274" s="2" t="s">
        <v>298</v>
      </c>
      <c r="B274" s="2">
        <v>8.0</v>
      </c>
      <c r="C274" s="4" t="str">
        <f t="shared" si="1"/>
        <v>tross</v>
      </c>
      <c r="D274" s="6" t="str">
        <f t="shared" si="14"/>
        <v>T141</v>
      </c>
      <c r="E274" s="5" t="s">
        <v>313</v>
      </c>
      <c r="F274" s="2" t="s">
        <v>14</v>
      </c>
      <c r="G274" s="2" t="str">
        <f>vlookup(D274,'mussel-ID_key'!A:B,2,false)</f>
        <v>tross-desiccation-24h</v>
      </c>
      <c r="H274" s="8" t="str">
        <f t="shared" si="2"/>
        <v>tross-desiccation-24h-foot</v>
      </c>
      <c r="I274" s="4">
        <f>vlookup(D274,'mussel-ID_key'!A:C,3,false)</f>
        <v>0</v>
      </c>
      <c r="J274" s="2" t="s">
        <v>298</v>
      </c>
      <c r="L274" s="5"/>
      <c r="M274" s="5"/>
    </row>
    <row r="275">
      <c r="A275" s="2" t="s">
        <v>298</v>
      </c>
      <c r="B275" s="2">
        <v>8.0</v>
      </c>
      <c r="C275" s="4" t="str">
        <f t="shared" si="1"/>
        <v>tross</v>
      </c>
      <c r="D275" s="6" t="str">
        <f t="shared" si="14"/>
        <v>T148</v>
      </c>
      <c r="E275" s="5" t="s">
        <v>334</v>
      </c>
      <c r="F275" s="2" t="s">
        <v>14</v>
      </c>
      <c r="G275" s="2" t="str">
        <f>vlookup(D275,'mussel-ID_key'!A:B,2,false)</f>
        <v>tross-desiccation-24h</v>
      </c>
      <c r="H275" s="8" t="str">
        <f t="shared" si="2"/>
        <v>tross-desiccation-24h-foot</v>
      </c>
      <c r="I275" s="4">
        <f>vlookup(D275,'mussel-ID_key'!A:C,3,false)</f>
        <v>0</v>
      </c>
      <c r="J275" s="2" t="s">
        <v>298</v>
      </c>
      <c r="L275" s="5"/>
      <c r="M275" s="5"/>
    </row>
    <row r="276">
      <c r="A276" s="2" t="s">
        <v>298</v>
      </c>
      <c r="B276" s="2">
        <v>8.0</v>
      </c>
      <c r="C276" s="4" t="str">
        <f t="shared" si="1"/>
        <v>tross</v>
      </c>
      <c r="D276" s="6" t="str">
        <f t="shared" si="14"/>
        <v>T139</v>
      </c>
      <c r="E276" s="5" t="s">
        <v>304</v>
      </c>
      <c r="F276" s="2" t="s">
        <v>14</v>
      </c>
      <c r="G276" s="2" t="str">
        <f>vlookup(D276,'mussel-ID_key'!A:B,2,false)</f>
        <v>tross-desiccation-24h</v>
      </c>
      <c r="H276" s="8" t="str">
        <f t="shared" si="2"/>
        <v>tross-desiccation-24h-foot</v>
      </c>
      <c r="I276" s="4">
        <f>vlookup(D276,'mussel-ID_key'!A:C,3,false)</f>
        <v>0</v>
      </c>
      <c r="J276" s="2" t="s">
        <v>298</v>
      </c>
      <c r="L276" s="5"/>
      <c r="M276" s="5"/>
    </row>
    <row r="277">
      <c r="A277" s="2" t="s">
        <v>298</v>
      </c>
      <c r="B277" s="2">
        <v>8.0</v>
      </c>
      <c r="C277" s="4" t="str">
        <f t="shared" si="1"/>
        <v>tross</v>
      </c>
      <c r="D277" s="6" t="str">
        <f t="shared" si="14"/>
        <v>T144</v>
      </c>
      <c r="E277" s="5" t="s">
        <v>322</v>
      </c>
      <c r="F277" s="2" t="s">
        <v>14</v>
      </c>
      <c r="G277" s="2" t="str">
        <f>vlookup(D277,'mussel-ID_key'!A:B,2,false)</f>
        <v>tross-desiccation-24h</v>
      </c>
      <c r="H277" s="8" t="str">
        <f t="shared" si="2"/>
        <v>tross-desiccation-24h-foot</v>
      </c>
      <c r="I277" s="4">
        <f>vlookup(D277,'mussel-ID_key'!A:C,3,false)</f>
        <v>0</v>
      </c>
      <c r="J277" s="2" t="s">
        <v>298</v>
      </c>
      <c r="L277" s="5"/>
      <c r="M277" s="5"/>
    </row>
    <row r="278">
      <c r="A278" s="2" t="s">
        <v>298</v>
      </c>
      <c r="B278" s="2">
        <v>8.0</v>
      </c>
      <c r="C278" s="4" t="str">
        <f t="shared" si="1"/>
        <v>tross</v>
      </c>
      <c r="D278" s="6" t="str">
        <f t="shared" si="14"/>
        <v>T142</v>
      </c>
      <c r="E278" s="5" t="s">
        <v>316</v>
      </c>
      <c r="F278" s="2" t="s">
        <v>14</v>
      </c>
      <c r="G278" s="2" t="str">
        <f>vlookup(D278,'mussel-ID_key'!A:B,2,false)</f>
        <v>tross-desiccation-24h</v>
      </c>
      <c r="H278" s="8" t="str">
        <f t="shared" si="2"/>
        <v>tross-desiccation-24h-foot</v>
      </c>
      <c r="I278" s="4">
        <f>vlookup(D278,'mussel-ID_key'!A:C,3,false)</f>
        <v>0</v>
      </c>
      <c r="J278" s="2" t="s">
        <v>298</v>
      </c>
      <c r="L278" s="5"/>
      <c r="M278" s="5"/>
    </row>
    <row r="279">
      <c r="A279" s="2" t="s">
        <v>298</v>
      </c>
      <c r="B279" s="2">
        <v>8.0</v>
      </c>
      <c r="C279" s="4" t="str">
        <f t="shared" si="1"/>
        <v>tross</v>
      </c>
      <c r="D279" s="6" t="str">
        <f t="shared" si="14"/>
        <v>T138</v>
      </c>
      <c r="E279" s="5" t="s">
        <v>297</v>
      </c>
      <c r="F279" s="2" t="s">
        <v>14</v>
      </c>
      <c r="G279" s="2" t="str">
        <f>vlookup(D279,'mussel-ID_key'!A:B,2,false)</f>
        <v>tross-desiccation-24h</v>
      </c>
      <c r="H279" s="8" t="str">
        <f t="shared" si="2"/>
        <v>tross-desiccation-24h-foot</v>
      </c>
      <c r="I279" s="4">
        <f>vlookup(D279,'mussel-ID_key'!A:C,3,false)</f>
        <v>0</v>
      </c>
      <c r="J279" s="2" t="s">
        <v>298</v>
      </c>
      <c r="L279" s="5"/>
      <c r="M279" s="5"/>
    </row>
    <row r="280">
      <c r="A280" s="2" t="s">
        <v>298</v>
      </c>
      <c r="B280" s="2">
        <v>8.0</v>
      </c>
      <c r="C280" s="4" t="str">
        <f t="shared" si="1"/>
        <v>tross</v>
      </c>
      <c r="D280" s="6" t="str">
        <f t="shared" si="14"/>
        <v>T146</v>
      </c>
      <c r="E280" s="5" t="s">
        <v>328</v>
      </c>
      <c r="F280" s="2" t="s">
        <v>14</v>
      </c>
      <c r="G280" s="2" t="str">
        <f>vlookup(D280,'mussel-ID_key'!A:B,2,false)</f>
        <v>tross-desiccation-24h</v>
      </c>
      <c r="H280" s="8" t="str">
        <f t="shared" si="2"/>
        <v>tross-desiccation-24h-foot</v>
      </c>
      <c r="I280" s="4">
        <f>vlookup(D280,'mussel-ID_key'!A:C,3,false)</f>
        <v>0</v>
      </c>
      <c r="J280" s="2" t="s">
        <v>298</v>
      </c>
      <c r="L280" s="5"/>
      <c r="M280" s="5"/>
    </row>
    <row r="281">
      <c r="A281" s="2" t="s">
        <v>298</v>
      </c>
      <c r="B281" s="2">
        <v>8.0</v>
      </c>
      <c r="C281" s="4" t="str">
        <f t="shared" si="1"/>
        <v>tross</v>
      </c>
      <c r="D281" s="6" t="str">
        <f t="shared" si="14"/>
        <v>T145</v>
      </c>
      <c r="E281" s="5" t="s">
        <v>325</v>
      </c>
      <c r="F281" s="2" t="s">
        <v>14</v>
      </c>
      <c r="G281" s="2" t="str">
        <f>vlookup(D281,'mussel-ID_key'!A:B,2,false)</f>
        <v>tross-desiccation-24h</v>
      </c>
      <c r="H281" s="8" t="str">
        <f t="shared" si="2"/>
        <v>tross-desiccation-24h-foot</v>
      </c>
      <c r="I281" s="4">
        <f>vlookup(D281,'mussel-ID_key'!A:C,3,false)</f>
        <v>0</v>
      </c>
      <c r="J281" s="2" t="s">
        <v>298</v>
      </c>
      <c r="L281" s="5"/>
      <c r="M281" s="5"/>
    </row>
    <row r="282">
      <c r="A282" s="2" t="s">
        <v>298</v>
      </c>
      <c r="B282" s="2">
        <v>8.0</v>
      </c>
      <c r="C282" s="4" t="str">
        <f t="shared" si="1"/>
        <v>tross</v>
      </c>
      <c r="D282" s="6" t="str">
        <f t="shared" si="14"/>
        <v>T140</v>
      </c>
      <c r="E282" s="5" t="s">
        <v>310</v>
      </c>
      <c r="F282" s="2" t="s">
        <v>14</v>
      </c>
      <c r="G282" s="2" t="str">
        <f>vlookup(D282,'mussel-ID_key'!A:B,2,false)</f>
        <v>tross-desiccation-24h</v>
      </c>
      <c r="H282" s="8" t="str">
        <f t="shared" si="2"/>
        <v>tross-desiccation-24h-foot</v>
      </c>
      <c r="I282" s="4">
        <f>vlookup(D282,'mussel-ID_key'!A:C,3,false)</f>
        <v>0</v>
      </c>
      <c r="J282" s="2" t="s">
        <v>298</v>
      </c>
      <c r="L282" s="5"/>
      <c r="M282" s="5"/>
    </row>
    <row r="283">
      <c r="A283" s="3" t="s">
        <v>298</v>
      </c>
      <c r="B283" s="2">
        <v>8.0</v>
      </c>
      <c r="C283" s="4" t="str">
        <f t="shared" si="1"/>
        <v>tross</v>
      </c>
      <c r="D283" s="6" t="str">
        <f t="shared" si="14"/>
        <v>T143</v>
      </c>
      <c r="E283" s="6" t="s">
        <v>321</v>
      </c>
      <c r="F283" s="2" t="s">
        <v>18</v>
      </c>
      <c r="G283" s="2" t="str">
        <f>vlookup(D283,'mussel-ID_key'!A:B,2,false)</f>
        <v>tross-desiccation-24h</v>
      </c>
      <c r="H283" s="8" t="str">
        <f t="shared" si="2"/>
        <v>tross-desiccation-24h-gill</v>
      </c>
      <c r="I283" s="4">
        <f>vlookup(D283,'mussel-ID_key'!A:C,3,false)</f>
        <v>0</v>
      </c>
      <c r="J283" s="3" t="s">
        <v>298</v>
      </c>
      <c r="L283" s="5"/>
      <c r="M283" s="5"/>
    </row>
    <row r="284">
      <c r="A284" s="3" t="s">
        <v>298</v>
      </c>
      <c r="B284" s="2">
        <v>8.0</v>
      </c>
      <c r="C284" s="4" t="str">
        <f t="shared" si="1"/>
        <v>tross</v>
      </c>
      <c r="D284" s="6" t="str">
        <f t="shared" si="14"/>
        <v>T149</v>
      </c>
      <c r="E284" s="6" t="s">
        <v>339</v>
      </c>
      <c r="F284" s="2" t="s">
        <v>18</v>
      </c>
      <c r="G284" s="2" t="str">
        <f>vlookup(D284,'mussel-ID_key'!A:B,2,false)</f>
        <v>tross-desiccation-24h</v>
      </c>
      <c r="H284" s="8" t="str">
        <f t="shared" si="2"/>
        <v>tross-desiccation-24h-gill</v>
      </c>
      <c r="I284" s="4">
        <f>vlookup(D284,'mussel-ID_key'!A:C,3,false)</f>
        <v>0</v>
      </c>
      <c r="J284" s="3" t="s">
        <v>298</v>
      </c>
      <c r="L284" s="5"/>
      <c r="M284" s="5"/>
    </row>
    <row r="285">
      <c r="A285" s="2" t="s">
        <v>298</v>
      </c>
      <c r="B285" s="2">
        <v>8.0</v>
      </c>
      <c r="C285" s="4" t="str">
        <f t="shared" si="1"/>
        <v>tross</v>
      </c>
      <c r="D285" s="6" t="str">
        <f t="shared" si="14"/>
        <v>T147</v>
      </c>
      <c r="E285" s="6" t="s">
        <v>333</v>
      </c>
      <c r="F285" s="2" t="s">
        <v>18</v>
      </c>
      <c r="G285" s="2" t="str">
        <f>vlookup(D285,'mussel-ID_key'!A:B,2,false)</f>
        <v>tross-desiccation-24h</v>
      </c>
      <c r="H285" s="8" t="str">
        <f t="shared" si="2"/>
        <v>tross-desiccation-24h-gill</v>
      </c>
      <c r="I285" s="4">
        <f>vlookup(D285,'mussel-ID_key'!A:C,3,false)</f>
        <v>0</v>
      </c>
      <c r="J285" s="2" t="s">
        <v>298</v>
      </c>
      <c r="L285" s="5"/>
      <c r="M285" s="5"/>
    </row>
    <row r="286">
      <c r="A286" s="2" t="s">
        <v>298</v>
      </c>
      <c r="B286" s="2">
        <v>8.0</v>
      </c>
      <c r="C286" s="4" t="str">
        <f t="shared" si="1"/>
        <v>tross</v>
      </c>
      <c r="D286" s="6" t="str">
        <f t="shared" si="14"/>
        <v>T141</v>
      </c>
      <c r="E286" s="6" t="s">
        <v>315</v>
      </c>
      <c r="F286" s="2" t="s">
        <v>18</v>
      </c>
      <c r="G286" s="2" t="str">
        <f>vlookup(D286,'mussel-ID_key'!A:B,2,false)</f>
        <v>tross-desiccation-24h</v>
      </c>
      <c r="H286" s="8" t="str">
        <f t="shared" si="2"/>
        <v>tross-desiccation-24h-gill</v>
      </c>
      <c r="I286" s="4">
        <f>vlookup(D286,'mussel-ID_key'!A:C,3,false)</f>
        <v>0</v>
      </c>
      <c r="J286" s="2" t="s">
        <v>298</v>
      </c>
      <c r="L286" s="5"/>
      <c r="M286" s="5"/>
    </row>
    <row r="287">
      <c r="A287" s="2" t="s">
        <v>298</v>
      </c>
      <c r="B287" s="2">
        <v>8.0</v>
      </c>
      <c r="C287" s="4" t="str">
        <f t="shared" si="1"/>
        <v>tross</v>
      </c>
      <c r="D287" s="6" t="str">
        <f t="shared" si="14"/>
        <v>T148</v>
      </c>
      <c r="E287" s="6" t="s">
        <v>336</v>
      </c>
      <c r="F287" s="2" t="s">
        <v>18</v>
      </c>
      <c r="G287" s="2" t="str">
        <f>vlookup(D287,'mussel-ID_key'!A:B,2,false)</f>
        <v>tross-desiccation-24h</v>
      </c>
      <c r="H287" s="8" t="str">
        <f t="shared" si="2"/>
        <v>tross-desiccation-24h-gill</v>
      </c>
      <c r="I287" s="4">
        <f>vlookup(D287,'mussel-ID_key'!A:C,3,false)</f>
        <v>0</v>
      </c>
      <c r="J287" s="2" t="s">
        <v>298</v>
      </c>
      <c r="L287" s="5"/>
      <c r="M287" s="5"/>
    </row>
    <row r="288">
      <c r="A288" s="2" t="s">
        <v>298</v>
      </c>
      <c r="B288" s="2">
        <v>8.0</v>
      </c>
      <c r="C288" s="4" t="str">
        <f t="shared" si="1"/>
        <v>tross</v>
      </c>
      <c r="D288" s="6" t="str">
        <f t="shared" si="14"/>
        <v>T139</v>
      </c>
      <c r="E288" s="6" t="s">
        <v>306</v>
      </c>
      <c r="F288" s="2" t="s">
        <v>18</v>
      </c>
      <c r="G288" s="2" t="str">
        <f>vlookup(D288,'mussel-ID_key'!A:B,2,false)</f>
        <v>tross-desiccation-24h</v>
      </c>
      <c r="H288" s="8" t="str">
        <f t="shared" si="2"/>
        <v>tross-desiccation-24h-gill</v>
      </c>
      <c r="I288" s="4">
        <f>vlookup(D288,'mussel-ID_key'!A:C,3,false)</f>
        <v>0</v>
      </c>
      <c r="J288" s="2" t="s">
        <v>298</v>
      </c>
      <c r="L288" s="5"/>
      <c r="M288" s="5"/>
    </row>
    <row r="289">
      <c r="A289" s="2" t="s">
        <v>298</v>
      </c>
      <c r="B289" s="2">
        <v>8.0</v>
      </c>
      <c r="C289" s="4" t="str">
        <f t="shared" si="1"/>
        <v>tross</v>
      </c>
      <c r="D289" s="6" t="str">
        <f t="shared" si="14"/>
        <v>T144</v>
      </c>
      <c r="E289" s="6" t="s">
        <v>324</v>
      </c>
      <c r="F289" s="2" t="s">
        <v>18</v>
      </c>
      <c r="G289" s="2" t="str">
        <f>vlookup(D289,'mussel-ID_key'!A:B,2,false)</f>
        <v>tross-desiccation-24h</v>
      </c>
      <c r="H289" s="8" t="str">
        <f t="shared" si="2"/>
        <v>tross-desiccation-24h-gill</v>
      </c>
      <c r="I289" s="4">
        <f>vlookup(D289,'mussel-ID_key'!A:C,3,false)</f>
        <v>0</v>
      </c>
      <c r="J289" s="2" t="s">
        <v>298</v>
      </c>
      <c r="L289" s="5"/>
      <c r="M289" s="5"/>
    </row>
    <row r="290">
      <c r="A290" s="2" t="s">
        <v>298</v>
      </c>
      <c r="B290" s="2">
        <v>8.0</v>
      </c>
      <c r="C290" s="4" t="str">
        <f t="shared" si="1"/>
        <v>tross</v>
      </c>
      <c r="D290" s="6" t="str">
        <f t="shared" si="14"/>
        <v>T142</v>
      </c>
      <c r="E290" s="6" t="s">
        <v>318</v>
      </c>
      <c r="F290" s="2" t="s">
        <v>18</v>
      </c>
      <c r="G290" s="2" t="str">
        <f>vlookup(D290,'mussel-ID_key'!A:B,2,false)</f>
        <v>tross-desiccation-24h</v>
      </c>
      <c r="H290" s="8" t="str">
        <f t="shared" si="2"/>
        <v>tross-desiccation-24h-gill</v>
      </c>
      <c r="I290" s="4">
        <f>vlookup(D290,'mussel-ID_key'!A:C,3,false)</f>
        <v>0</v>
      </c>
      <c r="J290" s="2" t="s">
        <v>298</v>
      </c>
      <c r="L290" s="5"/>
      <c r="M290" s="5"/>
    </row>
    <row r="291">
      <c r="A291" s="2" t="s">
        <v>298</v>
      </c>
      <c r="B291" s="2">
        <v>8.0</v>
      </c>
      <c r="C291" s="4" t="str">
        <f t="shared" si="1"/>
        <v>tross</v>
      </c>
      <c r="D291" s="6" t="str">
        <f t="shared" si="14"/>
        <v>T138</v>
      </c>
      <c r="E291" s="6" t="s">
        <v>302</v>
      </c>
      <c r="F291" s="2" t="s">
        <v>18</v>
      </c>
      <c r="G291" s="2" t="str">
        <f>vlookup(D291,'mussel-ID_key'!A:B,2,false)</f>
        <v>tross-desiccation-24h</v>
      </c>
      <c r="H291" s="8" t="str">
        <f t="shared" si="2"/>
        <v>tross-desiccation-24h-gill</v>
      </c>
      <c r="I291" s="4">
        <f>vlookup(D291,'mussel-ID_key'!A:C,3,false)</f>
        <v>0</v>
      </c>
      <c r="J291" s="2" t="s">
        <v>298</v>
      </c>
      <c r="L291" s="5"/>
      <c r="M291" s="5"/>
    </row>
    <row r="292">
      <c r="A292" s="2" t="s">
        <v>298</v>
      </c>
      <c r="B292" s="2">
        <v>8.0</v>
      </c>
      <c r="C292" s="4" t="str">
        <f t="shared" si="1"/>
        <v>tross</v>
      </c>
      <c r="D292" s="6" t="str">
        <f t="shared" si="14"/>
        <v>T146</v>
      </c>
      <c r="E292" s="6" t="s">
        <v>330</v>
      </c>
      <c r="F292" s="2" t="s">
        <v>18</v>
      </c>
      <c r="G292" s="2" t="str">
        <f>vlookup(D292,'mussel-ID_key'!A:B,2,false)</f>
        <v>tross-desiccation-24h</v>
      </c>
      <c r="H292" s="8" t="str">
        <f t="shared" si="2"/>
        <v>tross-desiccation-24h-gill</v>
      </c>
      <c r="I292" s="4">
        <f>vlookup(D292,'mussel-ID_key'!A:C,3,false)</f>
        <v>0</v>
      </c>
      <c r="J292" s="2" t="s">
        <v>298</v>
      </c>
      <c r="L292" s="5"/>
      <c r="M292" s="5"/>
    </row>
    <row r="293">
      <c r="A293" s="2" t="s">
        <v>298</v>
      </c>
      <c r="B293" s="2">
        <v>8.0</v>
      </c>
      <c r="C293" s="4" t="str">
        <f t="shared" si="1"/>
        <v>tross</v>
      </c>
      <c r="D293" s="6" t="str">
        <f t="shared" si="14"/>
        <v>T145</v>
      </c>
      <c r="E293" s="6" t="s">
        <v>327</v>
      </c>
      <c r="F293" s="2" t="s">
        <v>18</v>
      </c>
      <c r="G293" s="2" t="str">
        <f>vlookup(D293,'mussel-ID_key'!A:B,2,false)</f>
        <v>tross-desiccation-24h</v>
      </c>
      <c r="H293" s="8" t="str">
        <f t="shared" si="2"/>
        <v>tross-desiccation-24h-gill</v>
      </c>
      <c r="I293" s="4">
        <f>vlookup(D293,'mussel-ID_key'!A:C,3,false)</f>
        <v>0</v>
      </c>
      <c r="J293" s="2" t="s">
        <v>298</v>
      </c>
      <c r="L293" s="5"/>
      <c r="M293" s="5"/>
    </row>
    <row r="294">
      <c r="A294" s="2" t="s">
        <v>298</v>
      </c>
      <c r="B294" s="2">
        <v>8.0</v>
      </c>
      <c r="C294" s="4" t="str">
        <f t="shared" si="1"/>
        <v>tross</v>
      </c>
      <c r="D294" s="6" t="str">
        <f t="shared" si="14"/>
        <v>T140</v>
      </c>
      <c r="E294" s="6" t="s">
        <v>312</v>
      </c>
      <c r="F294" s="2" t="s">
        <v>18</v>
      </c>
      <c r="G294" s="2" t="str">
        <f>vlookup(D294,'mussel-ID_key'!A:B,2,false)</f>
        <v>tross-desiccation-24h</v>
      </c>
      <c r="H294" s="8" t="str">
        <f t="shared" si="2"/>
        <v>tross-desiccation-24h-gill</v>
      </c>
      <c r="I294" s="4">
        <f>vlookup(D294,'mussel-ID_key'!A:C,3,false)</f>
        <v>0</v>
      </c>
      <c r="J294" s="2" t="s">
        <v>298</v>
      </c>
      <c r="L294" s="5"/>
      <c r="M294" s="5"/>
    </row>
    <row r="295">
      <c r="A295" s="2" t="s">
        <v>298</v>
      </c>
      <c r="B295" s="2">
        <v>8.0</v>
      </c>
      <c r="C295" s="4" t="str">
        <f t="shared" si="1"/>
        <v>tross</v>
      </c>
      <c r="D295" s="6" t="str">
        <f t="shared" si="14"/>
        <v>T143</v>
      </c>
      <c r="E295" s="5" t="s">
        <v>557</v>
      </c>
      <c r="F295" s="2" t="s">
        <v>438</v>
      </c>
      <c r="G295" s="2" t="str">
        <f>vlookup(D295,'mussel-ID_key'!A:B,2,false)</f>
        <v>tross-desiccation-24h</v>
      </c>
      <c r="H295" s="8" t="str">
        <f t="shared" si="2"/>
        <v>tross-desiccation-24h-mantle</v>
      </c>
      <c r="I295" s="4">
        <f>vlookup(D295,'mussel-ID_key'!A:C,3,false)</f>
        <v>0</v>
      </c>
      <c r="J295" s="2" t="s">
        <v>298</v>
      </c>
      <c r="L295" s="5"/>
      <c r="M295" s="5"/>
    </row>
    <row r="296">
      <c r="A296" s="2" t="s">
        <v>298</v>
      </c>
      <c r="B296" s="2">
        <v>8.0</v>
      </c>
      <c r="C296" s="4" t="str">
        <f t="shared" si="1"/>
        <v>tross</v>
      </c>
      <c r="D296" s="6" t="str">
        <f t="shared" si="14"/>
        <v>T149</v>
      </c>
      <c r="E296" s="5" t="s">
        <v>558</v>
      </c>
      <c r="F296" s="2" t="s">
        <v>438</v>
      </c>
      <c r="G296" s="2" t="str">
        <f>vlookup(D296,'mussel-ID_key'!A:B,2,false)</f>
        <v>tross-desiccation-24h</v>
      </c>
      <c r="H296" s="8" t="str">
        <f t="shared" si="2"/>
        <v>tross-desiccation-24h-mantle</v>
      </c>
      <c r="I296" s="4">
        <f>vlookup(D296,'mussel-ID_key'!A:C,3,false)</f>
        <v>0</v>
      </c>
      <c r="J296" s="2" t="s">
        <v>298</v>
      </c>
      <c r="L296" s="5"/>
      <c r="M296" s="5"/>
    </row>
    <row r="297">
      <c r="A297" s="2" t="s">
        <v>298</v>
      </c>
      <c r="B297" s="2">
        <v>8.0</v>
      </c>
      <c r="C297" s="4" t="str">
        <f t="shared" si="1"/>
        <v>tross</v>
      </c>
      <c r="D297" s="6" t="str">
        <f t="shared" si="14"/>
        <v>T147</v>
      </c>
      <c r="E297" s="5" t="s">
        <v>559</v>
      </c>
      <c r="F297" s="2" t="s">
        <v>438</v>
      </c>
      <c r="G297" s="2" t="str">
        <f>vlookup(D297,'mussel-ID_key'!A:B,2,false)</f>
        <v>tross-desiccation-24h</v>
      </c>
      <c r="H297" s="8" t="str">
        <f t="shared" si="2"/>
        <v>tross-desiccation-24h-mantle</v>
      </c>
      <c r="I297" s="4">
        <f>vlookup(D297,'mussel-ID_key'!A:C,3,false)</f>
        <v>0</v>
      </c>
      <c r="J297" s="2" t="s">
        <v>298</v>
      </c>
      <c r="L297" s="5"/>
      <c r="M297" s="5"/>
    </row>
    <row r="298">
      <c r="A298" s="2" t="s">
        <v>298</v>
      </c>
      <c r="B298" s="2">
        <v>8.0</v>
      </c>
      <c r="C298" s="4" t="str">
        <f t="shared" si="1"/>
        <v>tross</v>
      </c>
      <c r="D298" s="6" t="str">
        <f t="shared" si="14"/>
        <v>T141</v>
      </c>
      <c r="E298" s="5" t="s">
        <v>560</v>
      </c>
      <c r="F298" s="2" t="s">
        <v>438</v>
      </c>
      <c r="G298" s="2" t="str">
        <f>vlookup(D298,'mussel-ID_key'!A:B,2,false)</f>
        <v>tross-desiccation-24h</v>
      </c>
      <c r="H298" s="8" t="str">
        <f t="shared" si="2"/>
        <v>tross-desiccation-24h-mantle</v>
      </c>
      <c r="I298" s="4">
        <f>vlookup(D298,'mussel-ID_key'!A:C,3,false)</f>
        <v>0</v>
      </c>
      <c r="J298" s="2" t="s">
        <v>298</v>
      </c>
      <c r="L298" s="5"/>
      <c r="M298" s="5"/>
    </row>
    <row r="299">
      <c r="A299" s="2" t="s">
        <v>298</v>
      </c>
      <c r="B299" s="2">
        <v>8.0</v>
      </c>
      <c r="C299" s="4" t="str">
        <f t="shared" si="1"/>
        <v>tross</v>
      </c>
      <c r="D299" s="6" t="str">
        <f t="shared" si="14"/>
        <v>T148</v>
      </c>
      <c r="E299" s="5" t="s">
        <v>561</v>
      </c>
      <c r="F299" s="2" t="s">
        <v>438</v>
      </c>
      <c r="G299" s="2" t="str">
        <f>vlookup(D299,'mussel-ID_key'!A:B,2,false)</f>
        <v>tross-desiccation-24h</v>
      </c>
      <c r="H299" s="8" t="str">
        <f t="shared" si="2"/>
        <v>tross-desiccation-24h-mantle</v>
      </c>
      <c r="I299" s="4">
        <f>vlookup(D299,'mussel-ID_key'!A:C,3,false)</f>
        <v>0</v>
      </c>
      <c r="J299" s="2" t="s">
        <v>298</v>
      </c>
      <c r="L299" s="5"/>
      <c r="M299" s="5"/>
    </row>
    <row r="300">
      <c r="A300" s="2" t="s">
        <v>298</v>
      </c>
      <c r="B300" s="2">
        <v>8.0</v>
      </c>
      <c r="C300" s="4" t="str">
        <f t="shared" si="1"/>
        <v>tross</v>
      </c>
      <c r="D300" s="6" t="str">
        <f t="shared" si="14"/>
        <v>T139</v>
      </c>
      <c r="E300" s="5" t="s">
        <v>562</v>
      </c>
      <c r="F300" s="2" t="s">
        <v>438</v>
      </c>
      <c r="G300" s="2" t="str">
        <f>vlookup(D300,'mussel-ID_key'!A:B,2,false)</f>
        <v>tross-desiccation-24h</v>
      </c>
      <c r="H300" s="8" t="str">
        <f t="shared" si="2"/>
        <v>tross-desiccation-24h-mantle</v>
      </c>
      <c r="I300" s="4">
        <f>vlookup(D300,'mussel-ID_key'!A:C,3,false)</f>
        <v>0</v>
      </c>
      <c r="J300" s="2" t="s">
        <v>298</v>
      </c>
      <c r="L300" s="5"/>
      <c r="M300" s="5"/>
    </row>
    <row r="301">
      <c r="A301" s="2" t="s">
        <v>298</v>
      </c>
      <c r="B301" s="2">
        <v>8.0</v>
      </c>
      <c r="C301" s="4" t="str">
        <f t="shared" si="1"/>
        <v>tross</v>
      </c>
      <c r="D301" s="6" t="str">
        <f t="shared" si="14"/>
        <v>T144</v>
      </c>
      <c r="E301" s="5" t="s">
        <v>563</v>
      </c>
      <c r="F301" s="2" t="s">
        <v>438</v>
      </c>
      <c r="G301" s="2" t="str">
        <f>vlookup(D301,'mussel-ID_key'!A:B,2,false)</f>
        <v>tross-desiccation-24h</v>
      </c>
      <c r="H301" s="8" t="str">
        <f t="shared" si="2"/>
        <v>tross-desiccation-24h-mantle</v>
      </c>
      <c r="I301" s="4">
        <f>vlookup(D301,'mussel-ID_key'!A:C,3,false)</f>
        <v>0</v>
      </c>
      <c r="J301" s="2" t="s">
        <v>298</v>
      </c>
      <c r="L301" s="5"/>
      <c r="M301" s="5"/>
    </row>
    <row r="302">
      <c r="A302" s="2" t="s">
        <v>298</v>
      </c>
      <c r="B302" s="2">
        <v>8.0</v>
      </c>
      <c r="C302" s="4" t="str">
        <f t="shared" si="1"/>
        <v>tross</v>
      </c>
      <c r="D302" s="6" t="str">
        <f t="shared" si="14"/>
        <v>T142</v>
      </c>
      <c r="E302" s="5" t="s">
        <v>564</v>
      </c>
      <c r="F302" s="2" t="s">
        <v>438</v>
      </c>
      <c r="G302" s="2" t="str">
        <f>vlookup(D302,'mussel-ID_key'!A:B,2,false)</f>
        <v>tross-desiccation-24h</v>
      </c>
      <c r="H302" s="8" t="str">
        <f t="shared" si="2"/>
        <v>tross-desiccation-24h-mantle</v>
      </c>
      <c r="I302" s="4">
        <f>vlookup(D302,'mussel-ID_key'!A:C,3,false)</f>
        <v>0</v>
      </c>
      <c r="J302" s="2" t="s">
        <v>298</v>
      </c>
      <c r="L302" s="5"/>
      <c r="M302" s="5"/>
    </row>
    <row r="303">
      <c r="A303" s="2" t="s">
        <v>298</v>
      </c>
      <c r="B303" s="2">
        <v>8.0</v>
      </c>
      <c r="C303" s="4" t="str">
        <f t="shared" si="1"/>
        <v>tross</v>
      </c>
      <c r="D303" s="6" t="str">
        <f t="shared" si="14"/>
        <v>T138</v>
      </c>
      <c r="E303" s="5" t="s">
        <v>565</v>
      </c>
      <c r="F303" s="2" t="s">
        <v>438</v>
      </c>
      <c r="G303" s="2" t="str">
        <f>vlookup(D303,'mussel-ID_key'!A:B,2,false)</f>
        <v>tross-desiccation-24h</v>
      </c>
      <c r="H303" s="8" t="str">
        <f t="shared" si="2"/>
        <v>tross-desiccation-24h-mantle</v>
      </c>
      <c r="I303" s="4">
        <f>vlookup(D303,'mussel-ID_key'!A:C,3,false)</f>
        <v>0</v>
      </c>
      <c r="J303" s="2" t="s">
        <v>298</v>
      </c>
      <c r="L303" s="5"/>
      <c r="M303" s="5"/>
    </row>
    <row r="304">
      <c r="A304" s="2" t="s">
        <v>298</v>
      </c>
      <c r="B304" s="2">
        <v>8.0</v>
      </c>
      <c r="C304" s="4" t="str">
        <f t="shared" si="1"/>
        <v>tross</v>
      </c>
      <c r="D304" s="6" t="str">
        <f t="shared" si="14"/>
        <v>T146</v>
      </c>
      <c r="E304" s="5" t="s">
        <v>566</v>
      </c>
      <c r="F304" s="2" t="s">
        <v>438</v>
      </c>
      <c r="G304" s="2" t="str">
        <f>vlookup(D304,'mussel-ID_key'!A:B,2,false)</f>
        <v>tross-desiccation-24h</v>
      </c>
      <c r="H304" s="8" t="str">
        <f t="shared" si="2"/>
        <v>tross-desiccation-24h-mantle</v>
      </c>
      <c r="I304" s="4">
        <f>vlookup(D304,'mussel-ID_key'!A:C,3,false)</f>
        <v>0</v>
      </c>
      <c r="J304" s="2" t="s">
        <v>298</v>
      </c>
      <c r="L304" s="5"/>
      <c r="M304" s="5"/>
    </row>
    <row r="305">
      <c r="A305" s="2" t="s">
        <v>298</v>
      </c>
      <c r="B305" s="2">
        <v>8.0</v>
      </c>
      <c r="C305" s="4" t="str">
        <f t="shared" si="1"/>
        <v>tross</v>
      </c>
      <c r="D305" s="6" t="str">
        <f t="shared" si="14"/>
        <v>T145</v>
      </c>
      <c r="E305" s="5" t="s">
        <v>567</v>
      </c>
      <c r="F305" s="2" t="s">
        <v>438</v>
      </c>
      <c r="G305" s="2" t="str">
        <f>vlookup(D305,'mussel-ID_key'!A:B,2,false)</f>
        <v>tross-desiccation-24h</v>
      </c>
      <c r="H305" s="8" t="str">
        <f t="shared" si="2"/>
        <v>tross-desiccation-24h-mantle</v>
      </c>
      <c r="I305" s="4">
        <f>vlookup(D305,'mussel-ID_key'!A:C,3,false)</f>
        <v>0</v>
      </c>
      <c r="J305" s="2" t="s">
        <v>298</v>
      </c>
      <c r="L305" s="5"/>
      <c r="M305" s="5"/>
    </row>
    <row r="306">
      <c r="A306" s="2" t="s">
        <v>298</v>
      </c>
      <c r="B306" s="2">
        <v>8.0</v>
      </c>
      <c r="C306" s="4" t="str">
        <f t="shared" si="1"/>
        <v>tross</v>
      </c>
      <c r="D306" s="6" t="str">
        <f t="shared" si="14"/>
        <v>T140</v>
      </c>
      <c r="E306" s="5" t="s">
        <v>568</v>
      </c>
      <c r="F306" s="2" t="s">
        <v>438</v>
      </c>
      <c r="G306" s="2" t="str">
        <f>vlookup(D306,'mussel-ID_key'!A:B,2,false)</f>
        <v>tross-desiccation-24h</v>
      </c>
      <c r="H306" s="8" t="str">
        <f t="shared" si="2"/>
        <v>tross-desiccation-24h-mantle</v>
      </c>
      <c r="I306" s="4">
        <f>vlookup(D306,'mussel-ID_key'!A:C,3,false)</f>
        <v>0</v>
      </c>
      <c r="J306" s="2" t="s">
        <v>298</v>
      </c>
      <c r="L306" s="5"/>
      <c r="M306" s="5"/>
    </row>
    <row r="307">
      <c r="A307" s="2" t="s">
        <v>463</v>
      </c>
      <c r="B307" s="2">
        <v>2.0</v>
      </c>
      <c r="C307" s="4" t="str">
        <f t="shared" si="1"/>
        <v>tross</v>
      </c>
      <c r="D307" s="4" t="s">
        <v>569</v>
      </c>
      <c r="E307" s="4" t="s">
        <v>570</v>
      </c>
      <c r="F307" s="2" t="s">
        <v>14</v>
      </c>
      <c r="G307" s="2" t="str">
        <f>vlookup(D307,'mussel-ID_key'!A:B,2,false)</f>
        <v>tross-DO-1</v>
      </c>
      <c r="H307" s="8" t="str">
        <f t="shared" si="2"/>
        <v>tross-DO-1-foot</v>
      </c>
      <c r="I307" s="4">
        <f>vlookup(D307,'mussel-ID_key'!A:C,3,false)</f>
        <v>0</v>
      </c>
      <c r="J307" s="2" t="s">
        <v>463</v>
      </c>
      <c r="L307" s="5"/>
      <c r="M307" s="5"/>
    </row>
    <row r="308">
      <c r="A308" s="2" t="s">
        <v>463</v>
      </c>
      <c r="B308" s="2">
        <v>2.0</v>
      </c>
      <c r="C308" s="4" t="str">
        <f t="shared" si="1"/>
        <v>tross</v>
      </c>
      <c r="D308" s="4" t="s">
        <v>571</v>
      </c>
      <c r="E308" s="4" t="s">
        <v>572</v>
      </c>
      <c r="F308" s="2" t="s">
        <v>14</v>
      </c>
      <c r="G308" s="2" t="str">
        <f>vlookup(D308,'mussel-ID_key'!A:B,2,false)</f>
        <v>tross-DO-1</v>
      </c>
      <c r="H308" s="8" t="str">
        <f t="shared" si="2"/>
        <v>tross-DO-1-foot</v>
      </c>
      <c r="I308" s="4">
        <f>vlookup(D308,'mussel-ID_key'!A:C,3,false)</f>
        <v>0</v>
      </c>
      <c r="J308" s="2" t="s">
        <v>463</v>
      </c>
      <c r="L308" s="5"/>
      <c r="M308" s="5"/>
    </row>
    <row r="309">
      <c r="A309" s="2" t="s">
        <v>463</v>
      </c>
      <c r="B309" s="2">
        <v>2.0</v>
      </c>
      <c r="C309" s="4" t="str">
        <f t="shared" si="1"/>
        <v>tross</v>
      </c>
      <c r="D309" s="4" t="s">
        <v>573</v>
      </c>
      <c r="E309" s="4" t="s">
        <v>574</v>
      </c>
      <c r="F309" s="2" t="s">
        <v>14</v>
      </c>
      <c r="G309" s="2" t="str">
        <f>vlookup(D309,'mussel-ID_key'!A:B,2,false)</f>
        <v>tross-DO-1</v>
      </c>
      <c r="H309" s="8" t="str">
        <f t="shared" si="2"/>
        <v>tross-DO-1-foot</v>
      </c>
      <c r="I309" s="4">
        <f>vlookup(D309,'mussel-ID_key'!A:C,3,false)</f>
        <v>0</v>
      </c>
      <c r="J309" s="2" t="s">
        <v>463</v>
      </c>
      <c r="L309" s="5"/>
      <c r="M309" s="5"/>
    </row>
    <row r="310">
      <c r="A310" s="2" t="s">
        <v>463</v>
      </c>
      <c r="B310" s="2">
        <v>2.0</v>
      </c>
      <c r="C310" s="4" t="str">
        <f t="shared" si="1"/>
        <v>tross</v>
      </c>
      <c r="D310" s="4" t="s">
        <v>575</v>
      </c>
      <c r="E310" s="4" t="s">
        <v>576</v>
      </c>
      <c r="F310" s="2" t="s">
        <v>14</v>
      </c>
      <c r="G310" s="2" t="str">
        <f>vlookup(D310,'mussel-ID_key'!A:B,2,false)</f>
        <v>tross-DO-1</v>
      </c>
      <c r="H310" s="8" t="str">
        <f t="shared" si="2"/>
        <v>tross-DO-1-foot</v>
      </c>
      <c r="I310" s="4">
        <f>vlookup(D310,'mussel-ID_key'!A:C,3,false)</f>
        <v>0</v>
      </c>
      <c r="J310" s="2" t="s">
        <v>463</v>
      </c>
      <c r="L310" s="5"/>
      <c r="M310" s="5"/>
    </row>
    <row r="311">
      <c r="A311" s="2" t="s">
        <v>463</v>
      </c>
      <c r="B311" s="2">
        <v>2.0</v>
      </c>
      <c r="C311" s="4" t="str">
        <f t="shared" si="1"/>
        <v>tross</v>
      </c>
      <c r="D311" s="4" t="s">
        <v>577</v>
      </c>
      <c r="E311" s="4" t="s">
        <v>578</v>
      </c>
      <c r="F311" s="2" t="s">
        <v>14</v>
      </c>
      <c r="G311" s="2" t="str">
        <f>vlookup(D311,'mussel-ID_key'!A:B,2,false)</f>
        <v>tross-DO-1</v>
      </c>
      <c r="H311" s="8" t="str">
        <f t="shared" si="2"/>
        <v>tross-DO-1-foot</v>
      </c>
      <c r="I311" s="4">
        <f>vlookup(D311,'mussel-ID_key'!A:C,3,false)</f>
        <v>0</v>
      </c>
      <c r="J311" s="2" t="s">
        <v>463</v>
      </c>
      <c r="L311" s="5"/>
      <c r="M311" s="5"/>
    </row>
    <row r="312">
      <c r="A312" s="2" t="s">
        <v>463</v>
      </c>
      <c r="B312" s="2">
        <v>2.0</v>
      </c>
      <c r="C312" s="4" t="str">
        <f t="shared" si="1"/>
        <v>tross</v>
      </c>
      <c r="D312" s="4" t="s">
        <v>569</v>
      </c>
      <c r="E312" s="4" t="s">
        <v>579</v>
      </c>
      <c r="F312" s="2" t="s">
        <v>18</v>
      </c>
      <c r="G312" s="2" t="str">
        <f>vlookup(D312,'mussel-ID_key'!A:B,2,false)</f>
        <v>tross-DO-1</v>
      </c>
      <c r="H312" s="8" t="str">
        <f t="shared" si="2"/>
        <v>tross-DO-1-gill</v>
      </c>
      <c r="I312" s="4">
        <f>vlookup(D312,'mussel-ID_key'!A:C,3,false)</f>
        <v>0</v>
      </c>
      <c r="J312" s="2" t="s">
        <v>463</v>
      </c>
      <c r="L312" s="5"/>
      <c r="M312" s="5"/>
    </row>
    <row r="313">
      <c r="A313" s="2" t="s">
        <v>463</v>
      </c>
      <c r="B313" s="2">
        <v>2.0</v>
      </c>
      <c r="C313" s="4" t="str">
        <f t="shared" si="1"/>
        <v>tross</v>
      </c>
      <c r="D313" s="4" t="s">
        <v>571</v>
      </c>
      <c r="E313" s="4" t="s">
        <v>580</v>
      </c>
      <c r="F313" s="2" t="s">
        <v>18</v>
      </c>
      <c r="G313" s="2" t="str">
        <f>vlookup(D313,'mussel-ID_key'!A:B,2,false)</f>
        <v>tross-DO-1</v>
      </c>
      <c r="H313" s="8" t="str">
        <f t="shared" si="2"/>
        <v>tross-DO-1-gill</v>
      </c>
      <c r="I313" s="4">
        <f>vlookup(D313,'mussel-ID_key'!A:C,3,false)</f>
        <v>0</v>
      </c>
      <c r="J313" s="2" t="s">
        <v>463</v>
      </c>
      <c r="L313" s="5"/>
      <c r="M313" s="5"/>
    </row>
    <row r="314">
      <c r="A314" s="2" t="s">
        <v>463</v>
      </c>
      <c r="B314" s="2">
        <v>2.0</v>
      </c>
      <c r="C314" s="4" t="str">
        <f t="shared" si="1"/>
        <v>tross</v>
      </c>
      <c r="D314" s="4" t="s">
        <v>573</v>
      </c>
      <c r="E314" s="4" t="s">
        <v>581</v>
      </c>
      <c r="F314" s="2" t="s">
        <v>18</v>
      </c>
      <c r="G314" s="2" t="str">
        <f>vlookup(D314,'mussel-ID_key'!A:B,2,false)</f>
        <v>tross-DO-1</v>
      </c>
      <c r="H314" s="8" t="str">
        <f t="shared" si="2"/>
        <v>tross-DO-1-gill</v>
      </c>
      <c r="I314" s="4">
        <f>vlookup(D314,'mussel-ID_key'!A:C,3,false)</f>
        <v>0</v>
      </c>
      <c r="J314" s="2" t="s">
        <v>463</v>
      </c>
      <c r="L314" s="5"/>
      <c r="M314" s="5"/>
    </row>
    <row r="315">
      <c r="A315" s="2" t="s">
        <v>463</v>
      </c>
      <c r="B315" s="2">
        <v>2.0</v>
      </c>
      <c r="C315" s="4" t="str">
        <f t="shared" si="1"/>
        <v>tross</v>
      </c>
      <c r="D315" s="4" t="s">
        <v>575</v>
      </c>
      <c r="E315" s="4" t="s">
        <v>582</v>
      </c>
      <c r="F315" s="2" t="s">
        <v>18</v>
      </c>
      <c r="G315" s="2" t="str">
        <f>vlookup(D315,'mussel-ID_key'!A:B,2,false)</f>
        <v>tross-DO-1</v>
      </c>
      <c r="H315" s="8" t="str">
        <f t="shared" si="2"/>
        <v>tross-DO-1-gill</v>
      </c>
      <c r="I315" s="4">
        <f>vlookup(D315,'mussel-ID_key'!A:C,3,false)</f>
        <v>0</v>
      </c>
      <c r="J315" s="2" t="s">
        <v>463</v>
      </c>
      <c r="L315" s="5"/>
      <c r="M315" s="5"/>
    </row>
    <row r="316">
      <c r="A316" s="2" t="s">
        <v>463</v>
      </c>
      <c r="B316" s="2">
        <v>2.0</v>
      </c>
      <c r="C316" s="4" t="str">
        <f t="shared" si="1"/>
        <v>tross</v>
      </c>
      <c r="D316" s="4" t="s">
        <v>577</v>
      </c>
      <c r="E316" s="4" t="s">
        <v>583</v>
      </c>
      <c r="F316" s="2" t="s">
        <v>18</v>
      </c>
      <c r="G316" s="2" t="str">
        <f>vlookup(D316,'mussel-ID_key'!A:B,2,false)</f>
        <v>tross-DO-1</v>
      </c>
      <c r="H316" s="8" t="str">
        <f t="shared" si="2"/>
        <v>tross-DO-1-gill</v>
      </c>
      <c r="I316" s="4">
        <f>vlookup(D316,'mussel-ID_key'!A:C,3,false)</f>
        <v>0</v>
      </c>
      <c r="J316" s="2" t="s">
        <v>463</v>
      </c>
      <c r="L316" s="5"/>
      <c r="M316" s="5"/>
    </row>
    <row r="317">
      <c r="A317" s="2" t="s">
        <v>463</v>
      </c>
      <c r="B317" s="2">
        <v>2.0</v>
      </c>
      <c r="C317" s="4" t="str">
        <f t="shared" si="1"/>
        <v>tross</v>
      </c>
      <c r="D317" s="4" t="s">
        <v>569</v>
      </c>
      <c r="E317" s="4" t="s">
        <v>584</v>
      </c>
      <c r="F317" s="2" t="s">
        <v>438</v>
      </c>
      <c r="G317" s="2" t="str">
        <f>vlookup(D317,'mussel-ID_key'!A:B,2,false)</f>
        <v>tross-DO-1</v>
      </c>
      <c r="H317" s="8" t="str">
        <f t="shared" si="2"/>
        <v>tross-DO-1-mantle</v>
      </c>
      <c r="I317" s="4">
        <f>vlookup(D317,'mussel-ID_key'!A:C,3,false)</f>
        <v>0</v>
      </c>
      <c r="J317" s="2" t="s">
        <v>463</v>
      </c>
      <c r="L317" s="5"/>
      <c r="M317" s="5"/>
    </row>
    <row r="318">
      <c r="A318" s="2" t="s">
        <v>463</v>
      </c>
      <c r="B318" s="2">
        <v>2.0</v>
      </c>
      <c r="C318" s="4" t="str">
        <f t="shared" si="1"/>
        <v>tross</v>
      </c>
      <c r="D318" s="4" t="s">
        <v>571</v>
      </c>
      <c r="E318" s="4" t="s">
        <v>585</v>
      </c>
      <c r="F318" s="2" t="s">
        <v>438</v>
      </c>
      <c r="G318" s="2" t="str">
        <f>vlookup(D318,'mussel-ID_key'!A:B,2,false)</f>
        <v>tross-DO-1</v>
      </c>
      <c r="H318" s="8" t="str">
        <f t="shared" si="2"/>
        <v>tross-DO-1-mantle</v>
      </c>
      <c r="I318" s="4">
        <f>vlookup(D318,'mussel-ID_key'!A:C,3,false)</f>
        <v>0</v>
      </c>
      <c r="J318" s="2" t="s">
        <v>463</v>
      </c>
      <c r="L318" s="5"/>
      <c r="M318" s="5"/>
    </row>
    <row r="319">
      <c r="A319" s="2" t="s">
        <v>463</v>
      </c>
      <c r="B319" s="2">
        <v>2.0</v>
      </c>
      <c r="C319" s="4" t="str">
        <f t="shared" si="1"/>
        <v>tross</v>
      </c>
      <c r="D319" s="4" t="s">
        <v>573</v>
      </c>
      <c r="E319" s="4" t="s">
        <v>586</v>
      </c>
      <c r="F319" s="2" t="s">
        <v>438</v>
      </c>
      <c r="G319" s="2" t="str">
        <f>vlookup(D319,'mussel-ID_key'!A:B,2,false)</f>
        <v>tross-DO-1</v>
      </c>
      <c r="H319" s="8" t="str">
        <f t="shared" si="2"/>
        <v>tross-DO-1-mantle</v>
      </c>
      <c r="I319" s="4">
        <f>vlookup(D319,'mussel-ID_key'!A:C,3,false)</f>
        <v>0</v>
      </c>
      <c r="J319" s="2" t="s">
        <v>463</v>
      </c>
      <c r="L319" s="5"/>
      <c r="M319" s="5"/>
    </row>
    <row r="320">
      <c r="A320" s="2" t="s">
        <v>463</v>
      </c>
      <c r="B320" s="2">
        <v>2.0</v>
      </c>
      <c r="C320" s="4" t="str">
        <f t="shared" si="1"/>
        <v>tross</v>
      </c>
      <c r="D320" s="4" t="s">
        <v>575</v>
      </c>
      <c r="E320" s="4" t="s">
        <v>587</v>
      </c>
      <c r="F320" s="2" t="s">
        <v>438</v>
      </c>
      <c r="G320" s="2" t="str">
        <f>vlookup(D320,'mussel-ID_key'!A:B,2,false)</f>
        <v>tross-DO-1</v>
      </c>
      <c r="H320" s="8" t="str">
        <f t="shared" si="2"/>
        <v>tross-DO-1-mantle</v>
      </c>
      <c r="I320" s="4">
        <f>vlookup(D320,'mussel-ID_key'!A:C,3,false)</f>
        <v>0</v>
      </c>
      <c r="J320" s="2" t="s">
        <v>463</v>
      </c>
      <c r="L320" s="5"/>
      <c r="M320" s="5"/>
    </row>
    <row r="321">
      <c r="A321" s="2" t="s">
        <v>463</v>
      </c>
      <c r="B321" s="2">
        <v>2.0</v>
      </c>
      <c r="C321" s="4" t="str">
        <f t="shared" si="1"/>
        <v>tross</v>
      </c>
      <c r="D321" s="4" t="s">
        <v>577</v>
      </c>
      <c r="E321" s="4" t="s">
        <v>588</v>
      </c>
      <c r="F321" s="2" t="s">
        <v>438</v>
      </c>
      <c r="G321" s="2" t="str">
        <f>vlookup(D321,'mussel-ID_key'!A:B,2,false)</f>
        <v>tross-DO-1</v>
      </c>
      <c r="H321" s="8" t="str">
        <f t="shared" si="2"/>
        <v>tross-DO-1-mantle</v>
      </c>
      <c r="I321" s="4">
        <f>vlookup(D321,'mussel-ID_key'!A:C,3,false)</f>
        <v>0</v>
      </c>
      <c r="J321" s="2" t="s">
        <v>463</v>
      </c>
      <c r="L321" s="5"/>
      <c r="M321" s="5"/>
    </row>
    <row r="322">
      <c r="A322" s="2" t="s">
        <v>55</v>
      </c>
      <c r="B322" s="2">
        <v>4.0</v>
      </c>
      <c r="C322" s="4" t="str">
        <f t="shared" si="1"/>
        <v>tross</v>
      </c>
      <c r="D322" s="5" t="s">
        <v>410</v>
      </c>
      <c r="E322" s="5" t="s">
        <v>409</v>
      </c>
      <c r="F322" s="2" t="s">
        <v>14</v>
      </c>
      <c r="G322" s="2" t="str">
        <f>vlookup(D322,'mussel-ID_key'!A:B,2,false)</f>
        <v>tross-DO-3</v>
      </c>
      <c r="H322" s="8" t="str">
        <f t="shared" si="2"/>
        <v>tross-DO-3-foot</v>
      </c>
      <c r="I322" s="4">
        <f>vlookup(D322,'mussel-ID_key'!A:C,3,false)</f>
        <v>1</v>
      </c>
      <c r="J322" s="2" t="s">
        <v>55</v>
      </c>
      <c r="L322" s="5"/>
      <c r="M322" s="5"/>
    </row>
    <row r="323">
      <c r="A323" s="2" t="s">
        <v>55</v>
      </c>
      <c r="B323" s="2">
        <v>4.0</v>
      </c>
      <c r="C323" s="4" t="str">
        <f t="shared" si="1"/>
        <v>tross</v>
      </c>
      <c r="D323" s="5" t="s">
        <v>425</v>
      </c>
      <c r="E323" s="5" t="s">
        <v>424</v>
      </c>
      <c r="F323" s="2" t="s">
        <v>14</v>
      </c>
      <c r="G323" s="2" t="str">
        <f>vlookup(D323,'mussel-ID_key'!A:B,2,false)</f>
        <v>tross-DO-3</v>
      </c>
      <c r="H323" s="8" t="str">
        <f t="shared" si="2"/>
        <v>tross-DO-3-foot</v>
      </c>
      <c r="I323" s="4">
        <f>vlookup(D323,'mussel-ID_key'!A:C,3,false)</f>
        <v>1</v>
      </c>
      <c r="J323" s="2" t="s">
        <v>55</v>
      </c>
      <c r="L323" s="5"/>
      <c r="M323" s="5"/>
    </row>
    <row r="324">
      <c r="A324" s="2" t="s">
        <v>55</v>
      </c>
      <c r="B324" s="2">
        <v>4.0</v>
      </c>
      <c r="C324" s="4" t="str">
        <f t="shared" si="1"/>
        <v>tross</v>
      </c>
      <c r="D324" s="5" t="s">
        <v>428</v>
      </c>
      <c r="E324" s="5" t="s">
        <v>427</v>
      </c>
      <c r="F324" s="2" t="s">
        <v>14</v>
      </c>
      <c r="G324" s="2" t="str">
        <f>vlookup(D324,'mussel-ID_key'!A:B,2,false)</f>
        <v>tross-DO-3</v>
      </c>
      <c r="H324" s="8" t="str">
        <f t="shared" si="2"/>
        <v>tross-DO-3-foot</v>
      </c>
      <c r="I324" s="4">
        <f>vlookup(D324,'mussel-ID_key'!A:C,3,false)</f>
        <v>1</v>
      </c>
      <c r="J324" s="2" t="s">
        <v>55</v>
      </c>
      <c r="L324" s="5"/>
      <c r="M324" s="5"/>
    </row>
    <row r="325">
      <c r="A325" s="2" t="s">
        <v>78</v>
      </c>
      <c r="B325" s="2">
        <v>7.0</v>
      </c>
      <c r="C325" s="4" t="str">
        <f t="shared" si="1"/>
        <v>tross</v>
      </c>
      <c r="D325" s="5" t="str">
        <f t="shared" ref="D325:D330" si="15">left(E325,3)</f>
        <v>T46</v>
      </c>
      <c r="E325" s="5" t="s">
        <v>406</v>
      </c>
      <c r="F325" s="7" t="s">
        <v>14</v>
      </c>
      <c r="G325" s="2" t="str">
        <f>vlookup(D325,'mussel-ID_key'!A:B,2,false)</f>
        <v>tross-DO-3</v>
      </c>
      <c r="H325" s="8" t="str">
        <f t="shared" si="2"/>
        <v>tross-DO-3-foot</v>
      </c>
      <c r="I325" s="4">
        <f>vlookup(D325,'mussel-ID_key'!A:C,3,false)</f>
        <v>1</v>
      </c>
      <c r="J325" s="2" t="s">
        <v>78</v>
      </c>
      <c r="L325" s="5"/>
      <c r="M325" s="5"/>
    </row>
    <row r="326">
      <c r="A326" s="2" t="s">
        <v>78</v>
      </c>
      <c r="B326" s="2">
        <v>7.0</v>
      </c>
      <c r="C326" s="4" t="str">
        <f t="shared" si="1"/>
        <v>tross</v>
      </c>
      <c r="D326" s="5" t="str">
        <f t="shared" si="15"/>
        <v>T49</v>
      </c>
      <c r="E326" s="5" t="s">
        <v>412</v>
      </c>
      <c r="F326" s="7" t="s">
        <v>14</v>
      </c>
      <c r="G326" s="2" t="str">
        <f>vlookup(D326,'mussel-ID_key'!A:B,2,false)</f>
        <v>tross-DO-3</v>
      </c>
      <c r="H326" s="8" t="str">
        <f t="shared" si="2"/>
        <v>tross-DO-3-foot</v>
      </c>
      <c r="I326" s="4">
        <f>vlookup(D326,'mussel-ID_key'!A:C,3,false)</f>
        <v>1</v>
      </c>
      <c r="J326" s="2" t="s">
        <v>78</v>
      </c>
      <c r="L326" s="5"/>
      <c r="M326" s="5"/>
    </row>
    <row r="327">
      <c r="A327" s="2" t="s">
        <v>78</v>
      </c>
      <c r="B327" s="2">
        <v>7.0</v>
      </c>
      <c r="C327" s="4" t="str">
        <f t="shared" si="1"/>
        <v>tross</v>
      </c>
      <c r="D327" s="5" t="str">
        <f t="shared" si="15"/>
        <v>T51</v>
      </c>
      <c r="E327" s="5" t="s">
        <v>415</v>
      </c>
      <c r="F327" s="7" t="s">
        <v>14</v>
      </c>
      <c r="G327" s="2" t="str">
        <f>vlookup(D327,'mussel-ID_key'!A:B,2,false)</f>
        <v>tross-DO-3</v>
      </c>
      <c r="H327" s="8" t="str">
        <f t="shared" si="2"/>
        <v>tross-DO-3-foot</v>
      </c>
      <c r="I327" s="4">
        <f>vlookup(D327,'mussel-ID_key'!A:C,3,false)</f>
        <v>1</v>
      </c>
      <c r="J327" s="2" t="s">
        <v>78</v>
      </c>
      <c r="L327" s="5"/>
      <c r="M327" s="5"/>
    </row>
    <row r="328">
      <c r="A328" s="2" t="s">
        <v>78</v>
      </c>
      <c r="B328" s="2">
        <v>7.0</v>
      </c>
      <c r="C328" s="4" t="str">
        <f t="shared" si="1"/>
        <v>tross</v>
      </c>
      <c r="D328" s="5" t="str">
        <f t="shared" si="15"/>
        <v>T52</v>
      </c>
      <c r="E328" s="5" t="s">
        <v>418</v>
      </c>
      <c r="F328" s="7" t="s">
        <v>14</v>
      </c>
      <c r="G328" s="2" t="str">
        <f>vlookup(D328,'mussel-ID_key'!A:B,2,false)</f>
        <v>tross-DO-3</v>
      </c>
      <c r="H328" s="8" t="str">
        <f t="shared" si="2"/>
        <v>tross-DO-3-foot</v>
      </c>
      <c r="I328" s="4">
        <f>vlookup(D328,'mussel-ID_key'!A:C,3,false)</f>
        <v>1</v>
      </c>
      <c r="J328" s="2" t="s">
        <v>78</v>
      </c>
      <c r="L328" s="5"/>
      <c r="M328" s="5"/>
    </row>
    <row r="329">
      <c r="A329" s="2" t="s">
        <v>78</v>
      </c>
      <c r="B329" s="2">
        <v>7.0</v>
      </c>
      <c r="C329" s="4" t="str">
        <f t="shared" si="1"/>
        <v>tross</v>
      </c>
      <c r="D329" s="5" t="str">
        <f t="shared" si="15"/>
        <v>T55</v>
      </c>
      <c r="E329" s="5" t="s">
        <v>421</v>
      </c>
      <c r="F329" s="7" t="s">
        <v>14</v>
      </c>
      <c r="G329" s="2" t="str">
        <f>vlookup(D329,'mussel-ID_key'!A:B,2,false)</f>
        <v>tross-DO-3</v>
      </c>
      <c r="H329" s="8" t="str">
        <f t="shared" si="2"/>
        <v>tross-DO-3-foot</v>
      </c>
      <c r="I329" s="4">
        <f>vlookup(D329,'mussel-ID_key'!A:C,3,false)</f>
        <v>1</v>
      </c>
      <c r="J329" s="2" t="s">
        <v>78</v>
      </c>
      <c r="L329" s="5"/>
      <c r="M329" s="5"/>
    </row>
    <row r="330">
      <c r="A330" s="2" t="s">
        <v>78</v>
      </c>
      <c r="B330" s="2">
        <v>7.0</v>
      </c>
      <c r="C330" s="4" t="str">
        <f t="shared" si="1"/>
        <v>tross</v>
      </c>
      <c r="D330" s="5" t="str">
        <f t="shared" si="15"/>
        <v>T58</v>
      </c>
      <c r="E330" s="5" t="s">
        <v>430</v>
      </c>
      <c r="F330" s="7" t="s">
        <v>14</v>
      </c>
      <c r="G330" s="2" t="str">
        <f>vlookup(D330,'mussel-ID_key'!A:B,2,false)</f>
        <v>tross-DO-3</v>
      </c>
      <c r="H330" s="8" t="str">
        <f t="shared" si="2"/>
        <v>tross-DO-3-foot</v>
      </c>
      <c r="I330" s="4">
        <f>vlookup(D330,'mussel-ID_key'!A:C,3,false)</f>
        <v>1</v>
      </c>
      <c r="J330" s="2" t="s">
        <v>78</v>
      </c>
      <c r="L330" s="5"/>
      <c r="M330" s="5"/>
    </row>
    <row r="331">
      <c r="A331" s="2" t="s">
        <v>55</v>
      </c>
      <c r="B331" s="2">
        <v>4.0</v>
      </c>
      <c r="C331" s="4" t="str">
        <f t="shared" si="1"/>
        <v>tross</v>
      </c>
      <c r="D331" s="5" t="s">
        <v>234</v>
      </c>
      <c r="E331" s="5" t="s">
        <v>233</v>
      </c>
      <c r="F331" s="2" t="s">
        <v>14</v>
      </c>
      <c r="G331" s="2" t="str">
        <f>vlookup(D331,'mussel-ID_key'!A:B,2,false)</f>
        <v>tross-DO-3</v>
      </c>
      <c r="H331" s="8" t="str">
        <f t="shared" si="2"/>
        <v>tross-DO-3-foot</v>
      </c>
      <c r="I331" s="4">
        <f>vlookup(D331,'mussel-ID_key'!A:C,3,false)</f>
        <v>0</v>
      </c>
      <c r="J331" s="2" t="s">
        <v>55</v>
      </c>
      <c r="L331" s="5"/>
      <c r="M331" s="5"/>
    </row>
    <row r="332">
      <c r="A332" s="2" t="s">
        <v>55</v>
      </c>
      <c r="B332" s="2">
        <v>4.0</v>
      </c>
      <c r="C332" s="4" t="str">
        <f t="shared" si="1"/>
        <v>tross</v>
      </c>
      <c r="D332" s="5" t="s">
        <v>241</v>
      </c>
      <c r="E332" s="5" t="s">
        <v>240</v>
      </c>
      <c r="F332" s="2" t="s">
        <v>14</v>
      </c>
      <c r="G332" s="2" t="str">
        <f>vlookup(D332,'mussel-ID_key'!A:B,2,false)</f>
        <v>tross-DO-3</v>
      </c>
      <c r="H332" s="8" t="str">
        <f t="shared" si="2"/>
        <v>tross-DO-3-foot</v>
      </c>
      <c r="I332" s="4">
        <f>vlookup(D332,'mussel-ID_key'!A:C,3,false)</f>
        <v>0</v>
      </c>
      <c r="J332" s="2" t="s">
        <v>55</v>
      </c>
      <c r="L332" s="5"/>
      <c r="M332" s="5"/>
    </row>
    <row r="333">
      <c r="A333" s="2" t="s">
        <v>55</v>
      </c>
      <c r="B333" s="2">
        <v>4.0</v>
      </c>
      <c r="C333" s="4" t="str">
        <f t="shared" si="1"/>
        <v>tross</v>
      </c>
      <c r="D333" s="5" t="s">
        <v>244</v>
      </c>
      <c r="E333" s="5" t="s">
        <v>243</v>
      </c>
      <c r="F333" s="2" t="s">
        <v>14</v>
      </c>
      <c r="G333" s="2" t="str">
        <f>vlookup(D333,'mussel-ID_key'!A:B,2,false)</f>
        <v>tross-DO-3</v>
      </c>
      <c r="H333" s="8" t="str">
        <f t="shared" si="2"/>
        <v>tross-DO-3-foot</v>
      </c>
      <c r="I333" s="4">
        <f>vlookup(D333,'mussel-ID_key'!A:C,3,false)</f>
        <v>0</v>
      </c>
      <c r="J333" s="2" t="s">
        <v>55</v>
      </c>
      <c r="L333" s="5"/>
      <c r="M333" s="5"/>
    </row>
    <row r="334">
      <c r="A334" s="2" t="s">
        <v>55</v>
      </c>
      <c r="B334" s="2">
        <v>4.0</v>
      </c>
      <c r="C334" s="4" t="str">
        <f t="shared" si="1"/>
        <v>tross</v>
      </c>
      <c r="D334" s="5" t="s">
        <v>589</v>
      </c>
      <c r="E334" s="5" t="s">
        <v>590</v>
      </c>
      <c r="F334" s="2" t="s">
        <v>14</v>
      </c>
      <c r="G334" s="2" t="str">
        <f>vlookup(D334,'mussel-ID_key'!A:B,2,false)</f>
        <v>tross-DO-3</v>
      </c>
      <c r="H334" s="8" t="str">
        <f t="shared" si="2"/>
        <v>tross-DO-3-foot</v>
      </c>
      <c r="I334" s="4">
        <f>vlookup(D334,'mussel-ID_key'!A:C,3,false)</f>
        <v>0</v>
      </c>
      <c r="J334" s="2" t="s">
        <v>55</v>
      </c>
      <c r="L334" s="5"/>
      <c r="M334" s="5"/>
    </row>
    <row r="335">
      <c r="A335" s="2" t="s">
        <v>55</v>
      </c>
      <c r="B335" s="2">
        <v>4.0</v>
      </c>
      <c r="C335" s="4" t="str">
        <f t="shared" si="1"/>
        <v>tross</v>
      </c>
      <c r="D335" s="5" t="s">
        <v>591</v>
      </c>
      <c r="E335" s="5" t="s">
        <v>592</v>
      </c>
      <c r="F335" s="2" t="s">
        <v>14</v>
      </c>
      <c r="G335" s="2" t="str">
        <f>vlookup(D335,'mussel-ID_key'!A:B,2,false)</f>
        <v>tross-DO-3</v>
      </c>
      <c r="H335" s="8" t="str">
        <f t="shared" si="2"/>
        <v>tross-DO-3-foot</v>
      </c>
      <c r="I335" s="4">
        <f>vlookup(D335,'mussel-ID_key'!A:C,3,false)</f>
        <v>0</v>
      </c>
      <c r="J335" s="2" t="s">
        <v>55</v>
      </c>
      <c r="L335" s="5"/>
      <c r="M335" s="5"/>
    </row>
    <row r="336">
      <c r="A336" s="2" t="s">
        <v>55</v>
      </c>
      <c r="B336" s="2">
        <v>4.0</v>
      </c>
      <c r="C336" s="4" t="str">
        <f t="shared" si="1"/>
        <v>tross</v>
      </c>
      <c r="D336" s="5" t="s">
        <v>593</v>
      </c>
      <c r="E336" s="5" t="s">
        <v>594</v>
      </c>
      <c r="F336" s="2" t="s">
        <v>14</v>
      </c>
      <c r="G336" s="2" t="str">
        <f>vlookup(D336,'mussel-ID_key'!A:B,2,false)</f>
        <v>tross-DO-3</v>
      </c>
      <c r="H336" s="8" t="str">
        <f t="shared" si="2"/>
        <v>tross-DO-3-foot</v>
      </c>
      <c r="I336" s="4">
        <f>vlookup(D336,'mussel-ID_key'!A:C,3,false)</f>
        <v>0</v>
      </c>
      <c r="J336" s="2" t="s">
        <v>55</v>
      </c>
      <c r="L336" s="5"/>
      <c r="M336" s="5"/>
    </row>
    <row r="337">
      <c r="A337" s="2" t="s">
        <v>55</v>
      </c>
      <c r="B337" s="2">
        <v>4.0</v>
      </c>
      <c r="C337" s="4" t="str">
        <f t="shared" si="1"/>
        <v>tross</v>
      </c>
      <c r="D337" s="5" t="s">
        <v>595</v>
      </c>
      <c r="E337" s="5" t="s">
        <v>596</v>
      </c>
      <c r="F337" s="2" t="s">
        <v>14</v>
      </c>
      <c r="G337" s="2" t="str">
        <f>vlookup(D337,'mussel-ID_key'!A:B,2,false)</f>
        <v>tross-DO-3</v>
      </c>
      <c r="H337" s="8" t="str">
        <f t="shared" si="2"/>
        <v>tross-DO-3-foot</v>
      </c>
      <c r="I337" s="4">
        <f>vlookup(D337,'mussel-ID_key'!A:C,3,false)</f>
        <v>0</v>
      </c>
      <c r="J337" s="2" t="s">
        <v>55</v>
      </c>
      <c r="L337" s="5"/>
      <c r="M337" s="5"/>
    </row>
    <row r="338">
      <c r="A338" s="2" t="s">
        <v>55</v>
      </c>
      <c r="B338" s="2">
        <v>4.0</v>
      </c>
      <c r="C338" s="4" t="str">
        <f t="shared" si="1"/>
        <v>tross</v>
      </c>
      <c r="D338" s="5" t="s">
        <v>597</v>
      </c>
      <c r="E338" s="5" t="s">
        <v>598</v>
      </c>
      <c r="F338" s="2" t="s">
        <v>14</v>
      </c>
      <c r="G338" s="2" t="str">
        <f>vlookup(D338,'mussel-ID_key'!A:B,2,false)</f>
        <v>tross-DO-3</v>
      </c>
      <c r="H338" s="8" t="str">
        <f t="shared" si="2"/>
        <v>tross-DO-3-foot</v>
      </c>
      <c r="I338" s="4">
        <f>vlookup(D338,'mussel-ID_key'!A:C,3,false)</f>
        <v>0</v>
      </c>
      <c r="J338" s="2" t="s">
        <v>55</v>
      </c>
      <c r="L338" s="5"/>
      <c r="M338" s="5"/>
    </row>
    <row r="339">
      <c r="A339" s="2" t="s">
        <v>55</v>
      </c>
      <c r="B339" s="2">
        <v>4.0</v>
      </c>
      <c r="C339" s="4" t="str">
        <f t="shared" si="1"/>
        <v>tross</v>
      </c>
      <c r="D339" s="5" t="s">
        <v>599</v>
      </c>
      <c r="E339" s="5" t="s">
        <v>600</v>
      </c>
      <c r="F339" s="2" t="s">
        <v>14</v>
      </c>
      <c r="G339" s="2" t="str">
        <f>vlookup(D339,'mussel-ID_key'!A:B,2,false)</f>
        <v>tross-DO-3</v>
      </c>
      <c r="H339" s="8" t="str">
        <f t="shared" si="2"/>
        <v>tross-DO-3-foot</v>
      </c>
      <c r="I339" s="4">
        <f>vlookup(D339,'mussel-ID_key'!A:C,3,false)</f>
        <v>0</v>
      </c>
      <c r="J339" s="2" t="s">
        <v>55</v>
      </c>
      <c r="L339" s="5"/>
      <c r="M339" s="5"/>
    </row>
    <row r="340">
      <c r="A340" s="2" t="s">
        <v>60</v>
      </c>
      <c r="B340" s="2">
        <v>3.0</v>
      </c>
      <c r="C340" s="4" t="str">
        <f t="shared" si="1"/>
        <v>tross</v>
      </c>
      <c r="D340" s="5" t="str">
        <f t="shared" ref="D340:D350" si="16">left(E340,3)</f>
        <v>T47</v>
      </c>
      <c r="E340" s="5" t="s">
        <v>411</v>
      </c>
      <c r="F340" s="5" t="s">
        <v>18</v>
      </c>
      <c r="G340" s="2" t="str">
        <f>vlookup(D340,'mussel-ID_key'!A:B,2,false)</f>
        <v>tross-DO-3</v>
      </c>
      <c r="H340" s="8" t="str">
        <f t="shared" si="2"/>
        <v>tross-DO-3-gill</v>
      </c>
      <c r="I340" s="4">
        <f>vlookup(D340,'mussel-ID_key'!A:C,3,false)</f>
        <v>1</v>
      </c>
      <c r="J340" s="2" t="s">
        <v>60</v>
      </c>
      <c r="L340" s="5"/>
      <c r="M340" s="5"/>
    </row>
    <row r="341">
      <c r="A341" s="2" t="s">
        <v>60</v>
      </c>
      <c r="B341" s="2">
        <v>3.0</v>
      </c>
      <c r="C341" s="4" t="str">
        <f t="shared" si="1"/>
        <v>tross</v>
      </c>
      <c r="D341" s="5" t="str">
        <f t="shared" si="16"/>
        <v>T56</v>
      </c>
      <c r="E341" s="5" t="s">
        <v>426</v>
      </c>
      <c r="F341" s="5" t="s">
        <v>18</v>
      </c>
      <c r="G341" s="2" t="str">
        <f>vlookup(D341,'mussel-ID_key'!A:B,2,false)</f>
        <v>tross-DO-3</v>
      </c>
      <c r="H341" s="8" t="str">
        <f t="shared" si="2"/>
        <v>tross-DO-3-gill</v>
      </c>
      <c r="I341" s="4">
        <f>vlookup(D341,'mussel-ID_key'!A:C,3,false)</f>
        <v>1</v>
      </c>
      <c r="J341" s="2" t="s">
        <v>60</v>
      </c>
      <c r="L341" s="5"/>
      <c r="M341" s="5"/>
    </row>
    <row r="342">
      <c r="A342" s="2" t="s">
        <v>60</v>
      </c>
      <c r="B342" s="2">
        <v>3.0</v>
      </c>
      <c r="C342" s="4" t="str">
        <f t="shared" si="1"/>
        <v>tross</v>
      </c>
      <c r="D342" s="5" t="str">
        <f t="shared" si="16"/>
        <v>T57</v>
      </c>
      <c r="E342" s="5" t="s">
        <v>429</v>
      </c>
      <c r="F342" s="5" t="s">
        <v>18</v>
      </c>
      <c r="G342" s="2" t="str">
        <f>vlookup(D342,'mussel-ID_key'!A:B,2,false)</f>
        <v>tross-DO-3</v>
      </c>
      <c r="H342" s="8" t="str">
        <f t="shared" si="2"/>
        <v>tross-DO-3-gill</v>
      </c>
      <c r="I342" s="4">
        <f>vlookup(D342,'mussel-ID_key'!A:C,3,false)</f>
        <v>1</v>
      </c>
      <c r="J342" s="2" t="s">
        <v>60</v>
      </c>
      <c r="L342" s="5"/>
      <c r="M342" s="5"/>
    </row>
    <row r="343">
      <c r="A343" s="2" t="s">
        <v>83</v>
      </c>
      <c r="B343" s="2">
        <v>5.0</v>
      </c>
      <c r="C343" s="4" t="str">
        <f t="shared" si="1"/>
        <v>tross</v>
      </c>
      <c r="D343" s="5" t="str">
        <f t="shared" si="16"/>
        <v>T46</v>
      </c>
      <c r="E343" s="5" t="s">
        <v>408</v>
      </c>
      <c r="F343" s="2" t="s">
        <v>18</v>
      </c>
      <c r="G343" s="2" t="str">
        <f>vlookup(D343,'mussel-ID_key'!A:B,2,false)</f>
        <v>tross-DO-3</v>
      </c>
      <c r="H343" s="8" t="str">
        <f t="shared" si="2"/>
        <v>tross-DO-3-gill</v>
      </c>
      <c r="I343" s="4">
        <f>vlookup(D343,'mussel-ID_key'!A:C,3,false)</f>
        <v>1</v>
      </c>
      <c r="J343" s="2" t="s">
        <v>83</v>
      </c>
      <c r="L343" s="5"/>
      <c r="M343" s="5"/>
    </row>
    <row r="344">
      <c r="A344" s="2" t="s">
        <v>83</v>
      </c>
      <c r="B344" s="2">
        <v>5.0</v>
      </c>
      <c r="C344" s="4" t="str">
        <f t="shared" si="1"/>
        <v>tross</v>
      </c>
      <c r="D344" s="5" t="str">
        <f t="shared" si="16"/>
        <v>T49</v>
      </c>
      <c r="E344" s="5" t="s">
        <v>414</v>
      </c>
      <c r="F344" s="2" t="s">
        <v>18</v>
      </c>
      <c r="G344" s="2" t="str">
        <f>vlookup(D344,'mussel-ID_key'!A:B,2,false)</f>
        <v>tross-DO-3</v>
      </c>
      <c r="H344" s="8" t="str">
        <f t="shared" si="2"/>
        <v>tross-DO-3-gill</v>
      </c>
      <c r="I344" s="4">
        <f>vlookup(D344,'mussel-ID_key'!A:C,3,false)</f>
        <v>1</v>
      </c>
      <c r="J344" s="2" t="s">
        <v>83</v>
      </c>
      <c r="L344" s="5"/>
      <c r="M344" s="5"/>
    </row>
    <row r="345">
      <c r="A345" s="2" t="s">
        <v>83</v>
      </c>
      <c r="B345" s="2">
        <v>5.0</v>
      </c>
      <c r="C345" s="4" t="str">
        <f t="shared" si="1"/>
        <v>tross</v>
      </c>
      <c r="D345" s="5" t="str">
        <f t="shared" si="16"/>
        <v>T51</v>
      </c>
      <c r="E345" s="5" t="s">
        <v>417</v>
      </c>
      <c r="F345" s="2" t="s">
        <v>18</v>
      </c>
      <c r="G345" s="2" t="str">
        <f>vlookup(D345,'mussel-ID_key'!A:B,2,false)</f>
        <v>tross-DO-3</v>
      </c>
      <c r="H345" s="8" t="str">
        <f t="shared" si="2"/>
        <v>tross-DO-3-gill</v>
      </c>
      <c r="I345" s="4">
        <f>vlookup(D345,'mussel-ID_key'!A:C,3,false)</f>
        <v>1</v>
      </c>
      <c r="J345" s="2" t="s">
        <v>83</v>
      </c>
      <c r="L345" s="5"/>
      <c r="M345" s="5"/>
    </row>
    <row r="346">
      <c r="A346" s="2" t="s">
        <v>83</v>
      </c>
      <c r="B346" s="2">
        <v>5.0</v>
      </c>
      <c r="C346" s="4" t="str">
        <f t="shared" si="1"/>
        <v>tross</v>
      </c>
      <c r="D346" s="5" t="str">
        <f t="shared" si="16"/>
        <v>T52</v>
      </c>
      <c r="E346" s="5" t="s">
        <v>420</v>
      </c>
      <c r="F346" s="2" t="s">
        <v>18</v>
      </c>
      <c r="G346" s="2" t="str">
        <f>vlookup(D346,'mussel-ID_key'!A:B,2,false)</f>
        <v>tross-DO-3</v>
      </c>
      <c r="H346" s="8" t="str">
        <f t="shared" si="2"/>
        <v>tross-DO-3-gill</v>
      </c>
      <c r="I346" s="4">
        <f>vlookup(D346,'mussel-ID_key'!A:C,3,false)</f>
        <v>1</v>
      </c>
      <c r="J346" s="2" t="s">
        <v>83</v>
      </c>
      <c r="L346" s="5"/>
      <c r="M346" s="5"/>
    </row>
    <row r="347">
      <c r="A347" s="2" t="s">
        <v>83</v>
      </c>
      <c r="B347" s="2">
        <v>5.0</v>
      </c>
      <c r="C347" s="4" t="str">
        <f t="shared" si="1"/>
        <v>tross</v>
      </c>
      <c r="D347" s="5" t="str">
        <f t="shared" si="16"/>
        <v>T55</v>
      </c>
      <c r="E347" s="5" t="s">
        <v>423</v>
      </c>
      <c r="F347" s="2" t="s">
        <v>18</v>
      </c>
      <c r="G347" s="2" t="str">
        <f>vlookup(D347,'mussel-ID_key'!A:B,2,false)</f>
        <v>tross-DO-3</v>
      </c>
      <c r="H347" s="8" t="str">
        <f t="shared" si="2"/>
        <v>tross-DO-3-gill</v>
      </c>
      <c r="I347" s="4">
        <f>vlookup(D347,'mussel-ID_key'!A:C,3,false)</f>
        <v>1</v>
      </c>
      <c r="J347" s="2" t="s">
        <v>83</v>
      </c>
      <c r="L347" s="5"/>
      <c r="M347" s="5"/>
    </row>
    <row r="348">
      <c r="A348" s="2" t="s">
        <v>83</v>
      </c>
      <c r="B348" s="2">
        <v>5.0</v>
      </c>
      <c r="C348" s="4" t="str">
        <f t="shared" si="1"/>
        <v>tross</v>
      </c>
      <c r="D348" s="5" t="str">
        <f t="shared" si="16"/>
        <v>T58</v>
      </c>
      <c r="E348" s="5" t="s">
        <v>432</v>
      </c>
      <c r="F348" s="2" t="s">
        <v>18</v>
      </c>
      <c r="G348" s="2" t="str">
        <f>vlookup(D348,'mussel-ID_key'!A:B,2,false)</f>
        <v>tross-DO-3</v>
      </c>
      <c r="H348" s="8" t="str">
        <f t="shared" si="2"/>
        <v>tross-DO-3-gill</v>
      </c>
      <c r="I348" s="4">
        <f>vlookup(D348,'mussel-ID_key'!A:C,3,false)</f>
        <v>1</v>
      </c>
      <c r="J348" s="2" t="s">
        <v>83</v>
      </c>
      <c r="L348" s="5"/>
      <c r="M348" s="5"/>
    </row>
    <row r="349">
      <c r="A349" s="2" t="s">
        <v>60</v>
      </c>
      <c r="B349" s="2">
        <v>3.0</v>
      </c>
      <c r="C349" s="4" t="str">
        <f t="shared" si="1"/>
        <v>tross</v>
      </c>
      <c r="D349" s="5" t="str">
        <f t="shared" si="16"/>
        <v>T94</v>
      </c>
      <c r="E349" s="5" t="s">
        <v>601</v>
      </c>
      <c r="F349" s="5" t="s">
        <v>18</v>
      </c>
      <c r="G349" s="2" t="str">
        <f>vlookup(D349,'mussel-ID_key'!A:B,2,false)</f>
        <v>tross-DO-3</v>
      </c>
      <c r="H349" s="8" t="str">
        <f t="shared" si="2"/>
        <v>tross-DO-3-gill</v>
      </c>
      <c r="I349" s="4">
        <f>vlookup(D349,'mussel-ID_key'!A:C,3,false)</f>
        <v>0</v>
      </c>
      <c r="J349" s="2" t="s">
        <v>60</v>
      </c>
      <c r="L349" s="5"/>
      <c r="M349" s="5"/>
    </row>
    <row r="350">
      <c r="A350" s="2" t="s">
        <v>60</v>
      </c>
      <c r="B350" s="2">
        <v>3.0</v>
      </c>
      <c r="C350" s="4" t="str">
        <f t="shared" si="1"/>
        <v>tross</v>
      </c>
      <c r="D350" s="5" t="str">
        <f t="shared" si="16"/>
        <v>T47</v>
      </c>
      <c r="E350" s="5" t="s">
        <v>602</v>
      </c>
      <c r="F350" s="5" t="s">
        <v>438</v>
      </c>
      <c r="G350" s="2" t="str">
        <f>vlookup(D350,'mussel-ID_key'!A:B,2,false)</f>
        <v>tross-DO-3</v>
      </c>
      <c r="H350" s="8" t="str">
        <f t="shared" si="2"/>
        <v>tross-DO-3-mantle</v>
      </c>
      <c r="I350" s="4">
        <f>vlookup(D350,'mussel-ID_key'!A:C,3,false)</f>
        <v>1</v>
      </c>
      <c r="J350" s="2" t="s">
        <v>60</v>
      </c>
      <c r="L350" s="5"/>
      <c r="M350" s="5"/>
    </row>
    <row r="351">
      <c r="A351" s="2" t="s">
        <v>55</v>
      </c>
      <c r="B351" s="2">
        <v>4.0</v>
      </c>
      <c r="C351" s="4" t="str">
        <f t="shared" si="1"/>
        <v>tross</v>
      </c>
      <c r="D351" s="5" t="s">
        <v>425</v>
      </c>
      <c r="E351" s="5" t="s">
        <v>603</v>
      </c>
      <c r="F351" s="2" t="s">
        <v>438</v>
      </c>
      <c r="G351" s="2" t="str">
        <f>vlookup(D351,'mussel-ID_key'!A:B,2,false)</f>
        <v>tross-DO-3</v>
      </c>
      <c r="H351" s="8" t="str">
        <f t="shared" si="2"/>
        <v>tross-DO-3-mantle</v>
      </c>
      <c r="I351" s="4">
        <f>vlookup(D351,'mussel-ID_key'!A:C,3,false)</f>
        <v>1</v>
      </c>
      <c r="J351" s="2" t="s">
        <v>55</v>
      </c>
      <c r="L351" s="5"/>
      <c r="M351" s="5"/>
    </row>
    <row r="352">
      <c r="A352" s="2" t="s">
        <v>55</v>
      </c>
      <c r="B352" s="2">
        <v>4.0</v>
      </c>
      <c r="C352" s="4" t="str">
        <f t="shared" si="1"/>
        <v>tross</v>
      </c>
      <c r="D352" s="5" t="s">
        <v>428</v>
      </c>
      <c r="E352" s="5" t="s">
        <v>604</v>
      </c>
      <c r="F352" s="2" t="s">
        <v>438</v>
      </c>
      <c r="G352" s="2" t="str">
        <f>vlookup(D352,'mussel-ID_key'!A:B,2,false)</f>
        <v>tross-DO-3</v>
      </c>
      <c r="H352" s="8" t="str">
        <f t="shared" si="2"/>
        <v>tross-DO-3-mantle</v>
      </c>
      <c r="I352" s="4">
        <f>vlookup(D352,'mussel-ID_key'!A:C,3,false)</f>
        <v>1</v>
      </c>
      <c r="J352" s="2" t="s">
        <v>55</v>
      </c>
      <c r="L352" s="5"/>
      <c r="M352" s="5"/>
    </row>
    <row r="353">
      <c r="A353" s="2" t="s">
        <v>450</v>
      </c>
      <c r="B353" s="2">
        <v>6.0</v>
      </c>
      <c r="C353" s="4" t="str">
        <f t="shared" si="1"/>
        <v>tross</v>
      </c>
      <c r="D353" s="5" t="str">
        <f t="shared" ref="D353:D359" si="17">left(E353,3)</f>
        <v>T46</v>
      </c>
      <c r="E353" s="4" t="s">
        <v>605</v>
      </c>
      <c r="F353" s="2" t="s">
        <v>438</v>
      </c>
      <c r="G353" s="2" t="str">
        <f>vlookup(D353,'mussel-ID_key'!A:B,2,false)</f>
        <v>tross-DO-3</v>
      </c>
      <c r="H353" s="8" t="str">
        <f t="shared" si="2"/>
        <v>tross-DO-3-mantle</v>
      </c>
      <c r="I353" s="4">
        <f>vlookup(D353,'mussel-ID_key'!A:C,3,false)</f>
        <v>1</v>
      </c>
      <c r="J353" s="2" t="s">
        <v>450</v>
      </c>
      <c r="L353" s="5"/>
      <c r="M353" s="5"/>
    </row>
    <row r="354">
      <c r="A354" s="2" t="s">
        <v>450</v>
      </c>
      <c r="B354" s="2">
        <v>6.0</v>
      </c>
      <c r="C354" s="4" t="str">
        <f t="shared" si="1"/>
        <v>tross</v>
      </c>
      <c r="D354" s="5" t="str">
        <f t="shared" si="17"/>
        <v>T49</v>
      </c>
      <c r="E354" s="5" t="s">
        <v>606</v>
      </c>
      <c r="F354" s="2" t="s">
        <v>438</v>
      </c>
      <c r="G354" s="2" t="str">
        <f>vlookup(D354,'mussel-ID_key'!A:B,2,false)</f>
        <v>tross-DO-3</v>
      </c>
      <c r="H354" s="8" t="str">
        <f t="shared" si="2"/>
        <v>tross-DO-3-mantle</v>
      </c>
      <c r="I354" s="4">
        <f>vlookup(D354,'mussel-ID_key'!A:C,3,false)</f>
        <v>1</v>
      </c>
      <c r="J354" s="2" t="s">
        <v>450</v>
      </c>
      <c r="L354" s="5"/>
      <c r="M354" s="5"/>
    </row>
    <row r="355">
      <c r="A355" s="2" t="s">
        <v>450</v>
      </c>
      <c r="B355" s="2">
        <v>6.0</v>
      </c>
      <c r="C355" s="4" t="str">
        <f t="shared" si="1"/>
        <v>tross</v>
      </c>
      <c r="D355" s="5" t="str">
        <f t="shared" si="17"/>
        <v>T51</v>
      </c>
      <c r="E355" s="5" t="s">
        <v>607</v>
      </c>
      <c r="F355" s="2" t="s">
        <v>438</v>
      </c>
      <c r="G355" s="2" t="str">
        <f>vlookup(D355,'mussel-ID_key'!A:B,2,false)</f>
        <v>tross-DO-3</v>
      </c>
      <c r="H355" s="8" t="str">
        <f t="shared" si="2"/>
        <v>tross-DO-3-mantle</v>
      </c>
      <c r="I355" s="4">
        <f>vlookup(D355,'mussel-ID_key'!A:C,3,false)</f>
        <v>1</v>
      </c>
      <c r="J355" s="2" t="s">
        <v>450</v>
      </c>
      <c r="L355" s="5"/>
      <c r="M355" s="5"/>
    </row>
    <row r="356">
      <c r="A356" s="2" t="s">
        <v>450</v>
      </c>
      <c r="B356" s="2">
        <v>6.0</v>
      </c>
      <c r="C356" s="4" t="str">
        <f t="shared" si="1"/>
        <v>tross</v>
      </c>
      <c r="D356" s="5" t="str">
        <f t="shared" si="17"/>
        <v>T52</v>
      </c>
      <c r="E356" s="5" t="s">
        <v>608</v>
      </c>
      <c r="F356" s="2" t="s">
        <v>438</v>
      </c>
      <c r="G356" s="2" t="str">
        <f>vlookup(D356,'mussel-ID_key'!A:B,2,false)</f>
        <v>tross-DO-3</v>
      </c>
      <c r="H356" s="8" t="str">
        <f t="shared" si="2"/>
        <v>tross-DO-3-mantle</v>
      </c>
      <c r="I356" s="4">
        <f>vlookup(D356,'mussel-ID_key'!A:C,3,false)</f>
        <v>1</v>
      </c>
      <c r="J356" s="2" t="s">
        <v>450</v>
      </c>
      <c r="L356" s="5"/>
      <c r="M356" s="5"/>
    </row>
    <row r="357">
      <c r="A357" s="2" t="s">
        <v>450</v>
      </c>
      <c r="B357" s="2">
        <v>6.0</v>
      </c>
      <c r="C357" s="4" t="str">
        <f t="shared" si="1"/>
        <v>tross</v>
      </c>
      <c r="D357" s="5" t="str">
        <f t="shared" si="17"/>
        <v>T55</v>
      </c>
      <c r="E357" s="5" t="s">
        <v>609</v>
      </c>
      <c r="F357" s="2" t="s">
        <v>438</v>
      </c>
      <c r="G357" s="2" t="str">
        <f>vlookup(D357,'mussel-ID_key'!A:B,2,false)</f>
        <v>tross-DO-3</v>
      </c>
      <c r="H357" s="8" t="str">
        <f t="shared" si="2"/>
        <v>tross-DO-3-mantle</v>
      </c>
      <c r="I357" s="4">
        <f>vlookup(D357,'mussel-ID_key'!A:C,3,false)</f>
        <v>1</v>
      </c>
      <c r="J357" s="2" t="s">
        <v>450</v>
      </c>
      <c r="L357" s="5"/>
      <c r="M357" s="5"/>
    </row>
    <row r="358">
      <c r="A358" s="2" t="s">
        <v>450</v>
      </c>
      <c r="B358" s="2">
        <v>6.0</v>
      </c>
      <c r="C358" s="4" t="str">
        <f t="shared" si="1"/>
        <v>tross</v>
      </c>
      <c r="D358" s="5" t="str">
        <f t="shared" si="17"/>
        <v>T58</v>
      </c>
      <c r="E358" s="5" t="s">
        <v>610</v>
      </c>
      <c r="F358" s="2" t="s">
        <v>438</v>
      </c>
      <c r="G358" s="2" t="str">
        <f>vlookup(D358,'mussel-ID_key'!A:B,2,false)</f>
        <v>tross-DO-3</v>
      </c>
      <c r="H358" s="8" t="str">
        <f t="shared" si="2"/>
        <v>tross-DO-3-mantle</v>
      </c>
      <c r="I358" s="4">
        <f>vlookup(D358,'mussel-ID_key'!A:C,3,false)</f>
        <v>1</v>
      </c>
      <c r="J358" s="2" t="s">
        <v>450</v>
      </c>
      <c r="L358" s="5"/>
      <c r="M358" s="5"/>
    </row>
    <row r="359">
      <c r="A359" s="2" t="s">
        <v>60</v>
      </c>
      <c r="B359" s="2">
        <v>3.0</v>
      </c>
      <c r="C359" s="4" t="str">
        <f t="shared" si="1"/>
        <v>tross</v>
      </c>
      <c r="D359" s="5" t="str">
        <f t="shared" si="17"/>
        <v>T94</v>
      </c>
      <c r="E359" s="5" t="s">
        <v>611</v>
      </c>
      <c r="F359" s="5" t="s">
        <v>438</v>
      </c>
      <c r="G359" s="2" t="str">
        <f>vlookup(D359,'mussel-ID_key'!A:B,2,false)</f>
        <v>tross-DO-3</v>
      </c>
      <c r="H359" s="8" t="str">
        <f t="shared" si="2"/>
        <v>tross-DO-3-mantle</v>
      </c>
      <c r="I359" s="4">
        <f>vlookup(D359,'mussel-ID_key'!A:C,3,false)</f>
        <v>0</v>
      </c>
      <c r="J359" s="2" t="s">
        <v>60</v>
      </c>
      <c r="L359" s="5"/>
      <c r="M359" s="5"/>
    </row>
    <row r="360">
      <c r="A360" s="2" t="s">
        <v>55</v>
      </c>
      <c r="B360" s="2">
        <v>4.0</v>
      </c>
      <c r="C360" s="4" t="str">
        <f t="shared" si="1"/>
        <v>tross</v>
      </c>
      <c r="D360" s="5" t="s">
        <v>234</v>
      </c>
      <c r="E360" s="5" t="s">
        <v>612</v>
      </c>
      <c r="F360" s="2" t="s">
        <v>438</v>
      </c>
      <c r="G360" s="2" t="str">
        <f>vlookup(D360,'mussel-ID_key'!A:B,2,false)</f>
        <v>tross-DO-3</v>
      </c>
      <c r="H360" s="8" t="str">
        <f t="shared" si="2"/>
        <v>tross-DO-3-mantle</v>
      </c>
      <c r="I360" s="4">
        <f>vlookup(D360,'mussel-ID_key'!A:C,3,false)</f>
        <v>0</v>
      </c>
      <c r="J360" s="2" t="s">
        <v>55</v>
      </c>
      <c r="L360" s="5"/>
      <c r="M360" s="5"/>
    </row>
    <row r="361">
      <c r="A361" s="2" t="s">
        <v>55</v>
      </c>
      <c r="B361" s="2">
        <v>4.0</v>
      </c>
      <c r="C361" s="4" t="str">
        <f t="shared" si="1"/>
        <v>tross</v>
      </c>
      <c r="D361" s="5" t="s">
        <v>241</v>
      </c>
      <c r="E361" s="5" t="s">
        <v>613</v>
      </c>
      <c r="F361" s="2" t="s">
        <v>438</v>
      </c>
      <c r="G361" s="2" t="str">
        <f>vlookup(D361,'mussel-ID_key'!A:B,2,false)</f>
        <v>tross-DO-3</v>
      </c>
      <c r="H361" s="8" t="str">
        <f t="shared" si="2"/>
        <v>tross-DO-3-mantle</v>
      </c>
      <c r="I361" s="4">
        <f>vlookup(D361,'mussel-ID_key'!A:C,3,false)</f>
        <v>0</v>
      </c>
      <c r="J361" s="2" t="s">
        <v>55</v>
      </c>
      <c r="L361" s="5"/>
      <c r="M361" s="5"/>
    </row>
    <row r="362">
      <c r="A362" s="2" t="s">
        <v>55</v>
      </c>
      <c r="B362" s="2">
        <v>4.0</v>
      </c>
      <c r="C362" s="4" t="str">
        <f t="shared" si="1"/>
        <v>tross</v>
      </c>
      <c r="D362" s="5" t="s">
        <v>244</v>
      </c>
      <c r="E362" s="5" t="s">
        <v>614</v>
      </c>
      <c r="F362" s="2" t="s">
        <v>438</v>
      </c>
      <c r="G362" s="2" t="str">
        <f>vlookup(D362,'mussel-ID_key'!A:B,2,false)</f>
        <v>tross-DO-3</v>
      </c>
      <c r="H362" s="8" t="str">
        <f t="shared" si="2"/>
        <v>tross-DO-3-mantle</v>
      </c>
      <c r="I362" s="4">
        <f>vlookup(D362,'mussel-ID_key'!A:C,3,false)</f>
        <v>0</v>
      </c>
      <c r="J362" s="2" t="s">
        <v>55</v>
      </c>
      <c r="L362" s="5"/>
      <c r="M362" s="5"/>
    </row>
    <row r="363">
      <c r="A363" s="2" t="s">
        <v>55</v>
      </c>
      <c r="B363" s="2">
        <v>4.0</v>
      </c>
      <c r="C363" s="4" t="str">
        <f t="shared" si="1"/>
        <v>tross</v>
      </c>
      <c r="D363" s="5" t="s">
        <v>591</v>
      </c>
      <c r="E363" s="5" t="s">
        <v>615</v>
      </c>
      <c r="F363" s="2" t="s">
        <v>438</v>
      </c>
      <c r="G363" s="2" t="str">
        <f>vlookup(D363,'mussel-ID_key'!A:B,2,false)</f>
        <v>tross-DO-3</v>
      </c>
      <c r="H363" s="8" t="str">
        <f t="shared" si="2"/>
        <v>tross-DO-3-mantle</v>
      </c>
      <c r="I363" s="4">
        <f>vlookup(D363,'mussel-ID_key'!A:C,3,false)</f>
        <v>0</v>
      </c>
      <c r="J363" s="2" t="s">
        <v>55</v>
      </c>
      <c r="L363" s="5"/>
      <c r="M363" s="5"/>
    </row>
    <row r="364">
      <c r="A364" s="2" t="s">
        <v>463</v>
      </c>
      <c r="B364" s="2">
        <v>2.0</v>
      </c>
      <c r="C364" s="4" t="str">
        <f t="shared" si="1"/>
        <v>tross</v>
      </c>
      <c r="D364" s="4" t="s">
        <v>616</v>
      </c>
      <c r="E364" s="4" t="s">
        <v>617</v>
      </c>
      <c r="F364" s="2" t="s">
        <v>14</v>
      </c>
      <c r="G364" s="2" t="str">
        <f>vlookup(D364,'mussel-ID_key'!A:B,2,false)</f>
        <v>tross-OA-1</v>
      </c>
      <c r="H364" s="8" t="str">
        <f t="shared" si="2"/>
        <v>tross-OA-1-foot</v>
      </c>
      <c r="I364" s="4">
        <f>vlookup(D364,'mussel-ID_key'!A:C,3,false)</f>
        <v>0</v>
      </c>
      <c r="J364" s="2" t="s">
        <v>463</v>
      </c>
      <c r="L364" s="5"/>
      <c r="M364" s="5"/>
    </row>
    <row r="365">
      <c r="A365" s="2" t="s">
        <v>463</v>
      </c>
      <c r="B365" s="2">
        <v>2.0</v>
      </c>
      <c r="C365" s="4" t="str">
        <f t="shared" si="1"/>
        <v>tross</v>
      </c>
      <c r="D365" s="4" t="s">
        <v>618</v>
      </c>
      <c r="E365" s="4" t="s">
        <v>619</v>
      </c>
      <c r="F365" s="2" t="s">
        <v>14</v>
      </c>
      <c r="G365" s="2" t="str">
        <f>vlookup(D365,'mussel-ID_key'!A:B,2,false)</f>
        <v>tross-OA-1</v>
      </c>
      <c r="H365" s="8" t="str">
        <f t="shared" si="2"/>
        <v>tross-OA-1-foot</v>
      </c>
      <c r="I365" s="4">
        <f>vlookup(D365,'mussel-ID_key'!A:C,3,false)</f>
        <v>0</v>
      </c>
      <c r="J365" s="2" t="s">
        <v>463</v>
      </c>
      <c r="L365" s="5"/>
      <c r="M365" s="5"/>
    </row>
    <row r="366">
      <c r="A366" s="2" t="s">
        <v>463</v>
      </c>
      <c r="B366" s="2">
        <v>2.0</v>
      </c>
      <c r="C366" s="4" t="str">
        <f t="shared" si="1"/>
        <v>tross</v>
      </c>
      <c r="D366" s="4" t="s">
        <v>620</v>
      </c>
      <c r="E366" s="4" t="s">
        <v>621</v>
      </c>
      <c r="F366" s="2" t="s">
        <v>14</v>
      </c>
      <c r="G366" s="2" t="str">
        <f>vlookup(D366,'mussel-ID_key'!A:B,2,false)</f>
        <v>tross-OA-1</v>
      </c>
      <c r="H366" s="8" t="str">
        <f t="shared" si="2"/>
        <v>tross-OA-1-foot</v>
      </c>
      <c r="I366" s="4">
        <f>vlookup(D366,'mussel-ID_key'!A:C,3,false)</f>
        <v>0</v>
      </c>
      <c r="J366" s="2" t="s">
        <v>463</v>
      </c>
      <c r="L366" s="5"/>
      <c r="M366" s="5"/>
    </row>
    <row r="367">
      <c r="A367" s="2" t="s">
        <v>463</v>
      </c>
      <c r="B367" s="2">
        <v>2.0</v>
      </c>
      <c r="C367" s="4" t="str">
        <f t="shared" si="1"/>
        <v>tross</v>
      </c>
      <c r="D367" s="4" t="s">
        <v>622</v>
      </c>
      <c r="E367" s="4" t="s">
        <v>623</v>
      </c>
      <c r="F367" s="2" t="s">
        <v>14</v>
      </c>
      <c r="G367" s="2" t="str">
        <f>vlookup(D367,'mussel-ID_key'!A:B,2,false)</f>
        <v>tross-OA-1</v>
      </c>
      <c r="H367" s="8" t="str">
        <f t="shared" si="2"/>
        <v>tross-OA-1-foot</v>
      </c>
      <c r="I367" s="4">
        <f>vlookup(D367,'mussel-ID_key'!A:C,3,false)</f>
        <v>0</v>
      </c>
      <c r="J367" s="2" t="s">
        <v>463</v>
      </c>
      <c r="L367" s="5"/>
      <c r="M367" s="5"/>
    </row>
    <row r="368">
      <c r="A368" s="2" t="s">
        <v>463</v>
      </c>
      <c r="B368" s="2">
        <v>2.0</v>
      </c>
      <c r="C368" s="4" t="str">
        <f t="shared" si="1"/>
        <v>tross</v>
      </c>
      <c r="D368" s="4" t="s">
        <v>624</v>
      </c>
      <c r="E368" s="4" t="s">
        <v>625</v>
      </c>
      <c r="F368" s="2" t="s">
        <v>14</v>
      </c>
      <c r="G368" s="2" t="str">
        <f>vlookup(D368,'mussel-ID_key'!A:B,2,false)</f>
        <v>tross-OA-1</v>
      </c>
      <c r="H368" s="8" t="str">
        <f t="shared" si="2"/>
        <v>tross-OA-1-foot</v>
      </c>
      <c r="I368" s="4">
        <f>vlookup(D368,'mussel-ID_key'!A:C,3,false)</f>
        <v>0</v>
      </c>
      <c r="J368" s="2" t="s">
        <v>463</v>
      </c>
      <c r="L368" s="5"/>
      <c r="M368" s="5"/>
    </row>
    <row r="369">
      <c r="A369" s="2" t="s">
        <v>463</v>
      </c>
      <c r="B369" s="2">
        <v>2.0</v>
      </c>
      <c r="C369" s="4" t="str">
        <f t="shared" si="1"/>
        <v>tross</v>
      </c>
      <c r="D369" s="4" t="s">
        <v>616</v>
      </c>
      <c r="E369" s="4" t="s">
        <v>626</v>
      </c>
      <c r="F369" s="2" t="s">
        <v>18</v>
      </c>
      <c r="G369" s="2" t="str">
        <f>vlookup(D369,'mussel-ID_key'!A:B,2,false)</f>
        <v>tross-OA-1</v>
      </c>
      <c r="H369" s="8" t="str">
        <f t="shared" si="2"/>
        <v>tross-OA-1-gill</v>
      </c>
      <c r="I369" s="4">
        <f>vlookup(D369,'mussel-ID_key'!A:C,3,false)</f>
        <v>0</v>
      </c>
      <c r="J369" s="2" t="s">
        <v>463</v>
      </c>
      <c r="L369" s="5"/>
      <c r="M369" s="5"/>
    </row>
    <row r="370">
      <c r="A370" s="2" t="s">
        <v>463</v>
      </c>
      <c r="B370" s="2">
        <v>2.0</v>
      </c>
      <c r="C370" s="4" t="str">
        <f t="shared" si="1"/>
        <v>tross</v>
      </c>
      <c r="D370" s="4" t="s">
        <v>618</v>
      </c>
      <c r="E370" s="4" t="s">
        <v>627</v>
      </c>
      <c r="F370" s="2" t="s">
        <v>18</v>
      </c>
      <c r="G370" s="2" t="str">
        <f>vlookup(D370,'mussel-ID_key'!A:B,2,false)</f>
        <v>tross-OA-1</v>
      </c>
      <c r="H370" s="8" t="str">
        <f t="shared" si="2"/>
        <v>tross-OA-1-gill</v>
      </c>
      <c r="I370" s="4">
        <f>vlookup(D370,'mussel-ID_key'!A:C,3,false)</f>
        <v>0</v>
      </c>
      <c r="J370" s="2" t="s">
        <v>463</v>
      </c>
      <c r="L370" s="5"/>
      <c r="M370" s="5"/>
    </row>
    <row r="371">
      <c r="A371" s="2" t="s">
        <v>463</v>
      </c>
      <c r="B371" s="2">
        <v>2.0</v>
      </c>
      <c r="C371" s="4" t="str">
        <f t="shared" si="1"/>
        <v>tross</v>
      </c>
      <c r="D371" s="4" t="s">
        <v>620</v>
      </c>
      <c r="E371" s="4" t="s">
        <v>628</v>
      </c>
      <c r="F371" s="2" t="s">
        <v>18</v>
      </c>
      <c r="G371" s="2" t="str">
        <f>vlookup(D371,'mussel-ID_key'!A:B,2,false)</f>
        <v>tross-OA-1</v>
      </c>
      <c r="H371" s="8" t="str">
        <f t="shared" si="2"/>
        <v>tross-OA-1-gill</v>
      </c>
      <c r="I371" s="4">
        <f>vlookup(D371,'mussel-ID_key'!A:C,3,false)</f>
        <v>0</v>
      </c>
      <c r="J371" s="2" t="s">
        <v>463</v>
      </c>
      <c r="L371" s="5"/>
      <c r="M371" s="5"/>
    </row>
    <row r="372">
      <c r="A372" s="2" t="s">
        <v>463</v>
      </c>
      <c r="B372" s="2">
        <v>2.0</v>
      </c>
      <c r="C372" s="4" t="str">
        <f t="shared" si="1"/>
        <v>tross</v>
      </c>
      <c r="D372" s="4" t="s">
        <v>622</v>
      </c>
      <c r="E372" s="4" t="s">
        <v>629</v>
      </c>
      <c r="F372" s="2" t="s">
        <v>18</v>
      </c>
      <c r="G372" s="2" t="str">
        <f>vlookup(D372,'mussel-ID_key'!A:B,2,false)</f>
        <v>tross-OA-1</v>
      </c>
      <c r="H372" s="8" t="str">
        <f t="shared" si="2"/>
        <v>tross-OA-1-gill</v>
      </c>
      <c r="I372" s="4">
        <f>vlookup(D372,'mussel-ID_key'!A:C,3,false)</f>
        <v>0</v>
      </c>
      <c r="J372" s="2" t="s">
        <v>463</v>
      </c>
      <c r="L372" s="5"/>
      <c r="M372" s="5"/>
    </row>
    <row r="373">
      <c r="A373" s="2" t="s">
        <v>463</v>
      </c>
      <c r="B373" s="2">
        <v>2.0</v>
      </c>
      <c r="C373" s="4" t="str">
        <f t="shared" si="1"/>
        <v>tross</v>
      </c>
      <c r="D373" s="4" t="s">
        <v>624</v>
      </c>
      <c r="E373" s="4" t="s">
        <v>630</v>
      </c>
      <c r="F373" s="2" t="s">
        <v>18</v>
      </c>
      <c r="G373" s="2" t="str">
        <f>vlookup(D373,'mussel-ID_key'!A:B,2,false)</f>
        <v>tross-OA-1</v>
      </c>
      <c r="H373" s="8" t="str">
        <f t="shared" si="2"/>
        <v>tross-OA-1-gill</v>
      </c>
      <c r="I373" s="4">
        <f>vlookup(D373,'mussel-ID_key'!A:C,3,false)</f>
        <v>0</v>
      </c>
      <c r="J373" s="2" t="s">
        <v>463</v>
      </c>
      <c r="L373" s="5"/>
      <c r="M373" s="5"/>
    </row>
    <row r="374">
      <c r="A374" s="2" t="s">
        <v>463</v>
      </c>
      <c r="B374" s="2">
        <v>2.0</v>
      </c>
      <c r="C374" s="4" t="str">
        <f t="shared" si="1"/>
        <v>tross</v>
      </c>
      <c r="D374" s="4" t="s">
        <v>616</v>
      </c>
      <c r="E374" s="4" t="s">
        <v>631</v>
      </c>
      <c r="F374" s="2" t="s">
        <v>438</v>
      </c>
      <c r="G374" s="2" t="str">
        <f>vlookup(D374,'mussel-ID_key'!A:B,2,false)</f>
        <v>tross-OA-1</v>
      </c>
      <c r="H374" s="8" t="str">
        <f t="shared" si="2"/>
        <v>tross-OA-1-mantle</v>
      </c>
      <c r="I374" s="4">
        <f>vlookup(D374,'mussel-ID_key'!A:C,3,false)</f>
        <v>0</v>
      </c>
      <c r="J374" s="2" t="s">
        <v>463</v>
      </c>
      <c r="L374" s="5"/>
      <c r="M374" s="5"/>
    </row>
    <row r="375">
      <c r="A375" s="2" t="s">
        <v>463</v>
      </c>
      <c r="B375" s="2">
        <v>2.0</v>
      </c>
      <c r="C375" s="4" t="str">
        <f t="shared" si="1"/>
        <v>tross</v>
      </c>
      <c r="D375" s="4" t="s">
        <v>618</v>
      </c>
      <c r="E375" s="4" t="s">
        <v>632</v>
      </c>
      <c r="F375" s="2" t="s">
        <v>438</v>
      </c>
      <c r="G375" s="2" t="str">
        <f>vlookup(D375,'mussel-ID_key'!A:B,2,false)</f>
        <v>tross-OA-1</v>
      </c>
      <c r="H375" s="8" t="str">
        <f t="shared" si="2"/>
        <v>tross-OA-1-mantle</v>
      </c>
      <c r="I375" s="4">
        <f>vlookup(D375,'mussel-ID_key'!A:C,3,false)</f>
        <v>0</v>
      </c>
      <c r="J375" s="2" t="s">
        <v>463</v>
      </c>
      <c r="L375" s="5"/>
      <c r="M375" s="5"/>
    </row>
    <row r="376">
      <c r="A376" s="2" t="s">
        <v>463</v>
      </c>
      <c r="B376" s="2">
        <v>2.0</v>
      </c>
      <c r="C376" s="4" t="str">
        <f t="shared" si="1"/>
        <v>tross</v>
      </c>
      <c r="D376" s="4" t="s">
        <v>620</v>
      </c>
      <c r="E376" s="4" t="s">
        <v>633</v>
      </c>
      <c r="F376" s="2" t="s">
        <v>438</v>
      </c>
      <c r="G376" s="2" t="str">
        <f>vlookup(D376,'mussel-ID_key'!A:B,2,false)</f>
        <v>tross-OA-1</v>
      </c>
      <c r="H376" s="8" t="str">
        <f t="shared" si="2"/>
        <v>tross-OA-1-mantle</v>
      </c>
      <c r="I376" s="4">
        <f>vlookup(D376,'mussel-ID_key'!A:C,3,false)</f>
        <v>0</v>
      </c>
      <c r="J376" s="2" t="s">
        <v>463</v>
      </c>
      <c r="L376" s="5"/>
      <c r="M376" s="5"/>
    </row>
    <row r="377">
      <c r="A377" s="2" t="s">
        <v>463</v>
      </c>
      <c r="B377" s="2">
        <v>2.0</v>
      </c>
      <c r="C377" s="4" t="str">
        <f t="shared" si="1"/>
        <v>tross</v>
      </c>
      <c r="D377" s="4" t="s">
        <v>622</v>
      </c>
      <c r="E377" s="4" t="s">
        <v>634</v>
      </c>
      <c r="F377" s="2" t="s">
        <v>438</v>
      </c>
      <c r="G377" s="2" t="str">
        <f>vlookup(D377,'mussel-ID_key'!A:B,2,false)</f>
        <v>tross-OA-1</v>
      </c>
      <c r="H377" s="8" t="str">
        <f t="shared" si="2"/>
        <v>tross-OA-1-mantle</v>
      </c>
      <c r="I377" s="4">
        <f>vlookup(D377,'mussel-ID_key'!A:C,3,false)</f>
        <v>0</v>
      </c>
      <c r="J377" s="2" t="s">
        <v>463</v>
      </c>
      <c r="L377" s="5"/>
      <c r="M377" s="5"/>
    </row>
    <row r="378">
      <c r="A378" s="2" t="s">
        <v>463</v>
      </c>
      <c r="B378" s="2">
        <v>2.0</v>
      </c>
      <c r="C378" s="4" t="str">
        <f t="shared" si="1"/>
        <v>tross</v>
      </c>
      <c r="D378" s="4" t="s">
        <v>624</v>
      </c>
      <c r="E378" s="4" t="s">
        <v>635</v>
      </c>
      <c r="F378" s="2" t="s">
        <v>438</v>
      </c>
      <c r="G378" s="2" t="str">
        <f>vlookup(D378,'mussel-ID_key'!A:B,2,false)</f>
        <v>tross-OA-1</v>
      </c>
      <c r="H378" s="8" t="str">
        <f t="shared" si="2"/>
        <v>tross-OA-1-mantle</v>
      </c>
      <c r="I378" s="4">
        <f>vlookup(D378,'mussel-ID_key'!A:C,3,false)</f>
        <v>0</v>
      </c>
      <c r="J378" s="2" t="s">
        <v>463</v>
      </c>
      <c r="L378" s="5"/>
      <c r="M378" s="5"/>
    </row>
    <row r="379">
      <c r="A379" s="2" t="s">
        <v>55</v>
      </c>
      <c r="B379" s="2">
        <v>4.0</v>
      </c>
      <c r="C379" s="4" t="str">
        <f t="shared" si="1"/>
        <v>tross</v>
      </c>
      <c r="D379" s="5" t="s">
        <v>308</v>
      </c>
      <c r="E379" s="5" t="s">
        <v>307</v>
      </c>
      <c r="F379" s="2" t="s">
        <v>14</v>
      </c>
      <c r="G379" s="2" t="str">
        <f>vlookup(D379,'mussel-ID_key'!A:B,2,false)</f>
        <v>tross-OA-3</v>
      </c>
      <c r="H379" s="8" t="str">
        <f t="shared" si="2"/>
        <v>tross-OA-3-foot</v>
      </c>
      <c r="I379" s="4">
        <f>vlookup(D379,'mussel-ID_key'!A:C,3,false)</f>
        <v>1</v>
      </c>
      <c r="J379" s="2" t="s">
        <v>55</v>
      </c>
      <c r="L379" s="5"/>
      <c r="M379" s="5"/>
    </row>
    <row r="380">
      <c r="A380" s="2" t="s">
        <v>55</v>
      </c>
      <c r="B380" s="2">
        <v>4.0</v>
      </c>
      <c r="C380" s="4" t="str">
        <f t="shared" si="1"/>
        <v>tross</v>
      </c>
      <c r="D380" s="5" t="s">
        <v>341</v>
      </c>
      <c r="E380" s="5" t="s">
        <v>340</v>
      </c>
      <c r="F380" s="2" t="s">
        <v>14</v>
      </c>
      <c r="G380" s="2" t="str">
        <f>vlookup(D380,'mussel-ID_key'!A:B,2,false)</f>
        <v>tross-OA-3</v>
      </c>
      <c r="H380" s="8" t="str">
        <f t="shared" si="2"/>
        <v>tross-OA-3-foot</v>
      </c>
      <c r="I380" s="4">
        <f>vlookup(D380,'mussel-ID_key'!A:C,3,false)</f>
        <v>1</v>
      </c>
      <c r="J380" s="2" t="s">
        <v>55</v>
      </c>
      <c r="L380" s="5"/>
      <c r="M380" s="5"/>
    </row>
    <row r="381">
      <c r="A381" s="2" t="s">
        <v>55</v>
      </c>
      <c r="B381" s="2">
        <v>4.0</v>
      </c>
      <c r="C381" s="4" t="str">
        <f t="shared" si="1"/>
        <v>tross</v>
      </c>
      <c r="D381" s="5" t="s">
        <v>344</v>
      </c>
      <c r="E381" s="5" t="s">
        <v>343</v>
      </c>
      <c r="F381" s="2" t="s">
        <v>14</v>
      </c>
      <c r="G381" s="2" t="str">
        <f>vlookup(D381,'mussel-ID_key'!A:B,2,false)</f>
        <v>tross-OA-3</v>
      </c>
      <c r="H381" s="8" t="str">
        <f t="shared" si="2"/>
        <v>tross-OA-3-foot</v>
      </c>
      <c r="I381" s="4">
        <f>vlookup(D381,'mussel-ID_key'!A:C,3,false)</f>
        <v>1</v>
      </c>
      <c r="J381" s="2" t="s">
        <v>55</v>
      </c>
      <c r="L381" s="5"/>
      <c r="M381" s="5"/>
    </row>
    <row r="382">
      <c r="A382" s="2" t="s">
        <v>55</v>
      </c>
      <c r="B382" s="2">
        <v>4.0</v>
      </c>
      <c r="C382" s="4" t="str">
        <f t="shared" si="1"/>
        <v>tross</v>
      </c>
      <c r="D382" s="5" t="s">
        <v>347</v>
      </c>
      <c r="E382" s="5" t="s">
        <v>346</v>
      </c>
      <c r="F382" s="2" t="s">
        <v>14</v>
      </c>
      <c r="G382" s="2" t="str">
        <f>vlookup(D382,'mussel-ID_key'!A:B,2,false)</f>
        <v>tross-OA-3</v>
      </c>
      <c r="H382" s="8" t="str">
        <f t="shared" si="2"/>
        <v>tross-OA-3-foot</v>
      </c>
      <c r="I382" s="4">
        <f>vlookup(D382,'mussel-ID_key'!A:C,3,false)</f>
        <v>1</v>
      </c>
      <c r="J382" s="2" t="s">
        <v>55</v>
      </c>
      <c r="L382" s="5"/>
      <c r="M382" s="5"/>
    </row>
    <row r="383">
      <c r="A383" s="2" t="s">
        <v>55</v>
      </c>
      <c r="B383" s="2">
        <v>4.0</v>
      </c>
      <c r="C383" s="4" t="str">
        <f t="shared" si="1"/>
        <v>tross</v>
      </c>
      <c r="D383" s="5" t="s">
        <v>350</v>
      </c>
      <c r="E383" s="5" t="s">
        <v>349</v>
      </c>
      <c r="F383" s="2" t="s">
        <v>14</v>
      </c>
      <c r="G383" s="2" t="str">
        <f>vlookup(D383,'mussel-ID_key'!A:B,2,false)</f>
        <v>tross-OA-3</v>
      </c>
      <c r="H383" s="8" t="str">
        <f t="shared" si="2"/>
        <v>tross-OA-3-foot</v>
      </c>
      <c r="I383" s="4">
        <f>vlookup(D383,'mussel-ID_key'!A:C,3,false)</f>
        <v>1</v>
      </c>
      <c r="J383" s="2" t="s">
        <v>55</v>
      </c>
      <c r="L383" s="5"/>
      <c r="M383" s="5"/>
    </row>
    <row r="384">
      <c r="A384" s="2" t="s">
        <v>55</v>
      </c>
      <c r="B384" s="2">
        <v>4.0</v>
      </c>
      <c r="C384" s="4" t="str">
        <f t="shared" si="1"/>
        <v>tross</v>
      </c>
      <c r="D384" s="5" t="s">
        <v>353</v>
      </c>
      <c r="E384" s="5" t="s">
        <v>352</v>
      </c>
      <c r="F384" s="2" t="s">
        <v>14</v>
      </c>
      <c r="G384" s="2" t="str">
        <f>vlookup(D384,'mussel-ID_key'!A:B,2,false)</f>
        <v>tross-OA-3</v>
      </c>
      <c r="H384" s="8" t="str">
        <f t="shared" si="2"/>
        <v>tross-OA-3-foot</v>
      </c>
      <c r="I384" s="4">
        <f>vlookup(D384,'mussel-ID_key'!A:C,3,false)</f>
        <v>1</v>
      </c>
      <c r="J384" s="2" t="s">
        <v>55</v>
      </c>
      <c r="L384" s="5"/>
      <c r="M384" s="5"/>
    </row>
    <row r="385">
      <c r="A385" s="2" t="s">
        <v>55</v>
      </c>
      <c r="B385" s="2">
        <v>4.0</v>
      </c>
      <c r="C385" s="4" t="str">
        <f t="shared" si="1"/>
        <v>tross</v>
      </c>
      <c r="D385" s="5" t="s">
        <v>356</v>
      </c>
      <c r="E385" s="5" t="s">
        <v>355</v>
      </c>
      <c r="F385" s="2" t="s">
        <v>14</v>
      </c>
      <c r="G385" s="2" t="str">
        <f>vlookup(D385,'mussel-ID_key'!A:B,2,false)</f>
        <v>tross-OA-3</v>
      </c>
      <c r="H385" s="8" t="str">
        <f t="shared" si="2"/>
        <v>tross-OA-3-foot</v>
      </c>
      <c r="I385" s="4">
        <f>vlookup(D385,'mussel-ID_key'!A:C,3,false)</f>
        <v>1</v>
      </c>
      <c r="J385" s="2" t="s">
        <v>55</v>
      </c>
      <c r="L385" s="5"/>
      <c r="M385" s="5"/>
    </row>
    <row r="386">
      <c r="A386" s="2" t="s">
        <v>55</v>
      </c>
      <c r="B386" s="2">
        <v>4.0</v>
      </c>
      <c r="C386" s="4" t="str">
        <f t="shared" si="1"/>
        <v>tross</v>
      </c>
      <c r="D386" s="5" t="s">
        <v>359</v>
      </c>
      <c r="E386" s="5" t="s">
        <v>358</v>
      </c>
      <c r="F386" s="2" t="s">
        <v>14</v>
      </c>
      <c r="G386" s="2" t="str">
        <f>vlookup(D386,'mussel-ID_key'!A:B,2,false)</f>
        <v>tross-OA-3</v>
      </c>
      <c r="H386" s="8" t="str">
        <f t="shared" si="2"/>
        <v>tross-OA-3-foot</v>
      </c>
      <c r="I386" s="4">
        <f>vlookup(D386,'mussel-ID_key'!A:C,3,false)</f>
        <v>1</v>
      </c>
      <c r="J386" s="2" t="s">
        <v>55</v>
      </c>
      <c r="L386" s="5"/>
      <c r="M386" s="5"/>
    </row>
    <row r="387">
      <c r="A387" s="2" t="s">
        <v>55</v>
      </c>
      <c r="B387" s="2">
        <v>4.0</v>
      </c>
      <c r="C387" s="4" t="str">
        <f t="shared" si="1"/>
        <v>tross</v>
      </c>
      <c r="D387" s="5" t="s">
        <v>362</v>
      </c>
      <c r="E387" s="5" t="s">
        <v>361</v>
      </c>
      <c r="F387" s="2" t="s">
        <v>14</v>
      </c>
      <c r="G387" s="2" t="str">
        <f>vlookup(D387,'mussel-ID_key'!A:B,2,false)</f>
        <v>tross-OA-3</v>
      </c>
      <c r="H387" s="8" t="str">
        <f t="shared" si="2"/>
        <v>tross-OA-3-foot</v>
      </c>
      <c r="I387" s="4">
        <f>vlookup(D387,'mussel-ID_key'!A:C,3,false)</f>
        <v>1</v>
      </c>
      <c r="J387" s="2" t="s">
        <v>55</v>
      </c>
      <c r="L387" s="5"/>
      <c r="M387" s="5"/>
    </row>
    <row r="388">
      <c r="A388" s="2" t="s">
        <v>55</v>
      </c>
      <c r="B388" s="2">
        <v>4.0</v>
      </c>
      <c r="C388" s="4" t="str">
        <f t="shared" si="1"/>
        <v>tross</v>
      </c>
      <c r="D388" s="5" t="s">
        <v>365</v>
      </c>
      <c r="E388" s="5" t="s">
        <v>364</v>
      </c>
      <c r="F388" s="2" t="s">
        <v>14</v>
      </c>
      <c r="G388" s="2" t="str">
        <f>vlookup(D388,'mussel-ID_key'!A:B,2,false)</f>
        <v>tross-OA-3</v>
      </c>
      <c r="H388" s="8" t="str">
        <f t="shared" si="2"/>
        <v>tross-OA-3-foot</v>
      </c>
      <c r="I388" s="4">
        <f>vlookup(D388,'mussel-ID_key'!A:C,3,false)</f>
        <v>1</v>
      </c>
      <c r="J388" s="2" t="s">
        <v>55</v>
      </c>
      <c r="L388" s="5"/>
      <c r="M388" s="5"/>
    </row>
    <row r="389">
      <c r="A389" s="2" t="s">
        <v>78</v>
      </c>
      <c r="B389" s="2">
        <v>7.0</v>
      </c>
      <c r="C389" s="4" t="str">
        <f t="shared" si="1"/>
        <v>tross</v>
      </c>
      <c r="D389" s="6" t="s">
        <v>274</v>
      </c>
      <c r="E389" s="5" t="s">
        <v>273</v>
      </c>
      <c r="F389" s="7" t="s">
        <v>14</v>
      </c>
      <c r="G389" s="2" t="str">
        <f>vlookup(D389,'mussel-ID_key'!A:B,2,false)</f>
        <v>tross-control-3</v>
      </c>
      <c r="H389" s="8" t="str">
        <f t="shared" si="2"/>
        <v>tross-control-3-foot</v>
      </c>
      <c r="I389" s="4">
        <f>vlookup(D389,'mussel-ID_key'!A:C,3,false)</f>
        <v>0</v>
      </c>
      <c r="J389" s="2" t="s">
        <v>78</v>
      </c>
      <c r="L389" s="5"/>
      <c r="M389" s="5"/>
    </row>
    <row r="390">
      <c r="A390" s="2" t="s">
        <v>78</v>
      </c>
      <c r="B390" s="2">
        <v>7.0</v>
      </c>
      <c r="C390" s="4" t="str">
        <f t="shared" si="1"/>
        <v>tross</v>
      </c>
      <c r="D390" s="6" t="s">
        <v>277</v>
      </c>
      <c r="E390" s="5" t="s">
        <v>276</v>
      </c>
      <c r="F390" s="7" t="s">
        <v>14</v>
      </c>
      <c r="G390" s="2" t="str">
        <f>vlookup(D390,'mussel-ID_key'!A:B,2,false)</f>
        <v>tross-control-3</v>
      </c>
      <c r="H390" s="8" t="str">
        <f t="shared" si="2"/>
        <v>tross-control-3-foot</v>
      </c>
      <c r="I390" s="4">
        <f>vlookup(D390,'mussel-ID_key'!A:C,3,false)</f>
        <v>0</v>
      </c>
      <c r="J390" s="2" t="s">
        <v>78</v>
      </c>
      <c r="L390" s="5"/>
      <c r="M390" s="5"/>
    </row>
    <row r="391">
      <c r="A391" s="2" t="s">
        <v>78</v>
      </c>
      <c r="B391" s="2">
        <v>7.0</v>
      </c>
      <c r="C391" s="4" t="str">
        <f t="shared" si="1"/>
        <v>tross</v>
      </c>
      <c r="D391" s="6" t="s">
        <v>280</v>
      </c>
      <c r="E391" s="5" t="s">
        <v>279</v>
      </c>
      <c r="F391" s="7" t="s">
        <v>14</v>
      </c>
      <c r="G391" s="2" t="str">
        <f>vlookup(D391,'mussel-ID_key'!A:B,2,false)</f>
        <v>tross-control-3</v>
      </c>
      <c r="H391" s="8" t="str">
        <f t="shared" si="2"/>
        <v>tross-control-3-foot</v>
      </c>
      <c r="I391" s="4">
        <f>vlookup(D391,'mussel-ID_key'!A:C,3,false)</f>
        <v>0</v>
      </c>
      <c r="J391" s="2" t="s">
        <v>78</v>
      </c>
      <c r="L391" s="5"/>
      <c r="M391" s="5"/>
    </row>
    <row r="392">
      <c r="A392" s="2" t="s">
        <v>78</v>
      </c>
      <c r="B392" s="2">
        <v>7.0</v>
      </c>
      <c r="C392" s="4" t="str">
        <f t="shared" si="1"/>
        <v>tross</v>
      </c>
      <c r="D392" s="6" t="s">
        <v>283</v>
      </c>
      <c r="E392" s="5" t="s">
        <v>282</v>
      </c>
      <c r="F392" s="7" t="s">
        <v>14</v>
      </c>
      <c r="G392" s="2" t="str">
        <f>vlookup(D392,'mussel-ID_key'!A:B,2,false)</f>
        <v>tross-control-3</v>
      </c>
      <c r="H392" s="8" t="str">
        <f t="shared" si="2"/>
        <v>tross-control-3-foot</v>
      </c>
      <c r="I392" s="4">
        <f>vlookup(D392,'mussel-ID_key'!A:C,3,false)</f>
        <v>0</v>
      </c>
      <c r="J392" s="2" t="s">
        <v>78</v>
      </c>
      <c r="L392" s="5"/>
      <c r="M392" s="5"/>
    </row>
    <row r="393">
      <c r="A393" s="2" t="s">
        <v>78</v>
      </c>
      <c r="B393" s="2">
        <v>7.0</v>
      </c>
      <c r="C393" s="4" t="str">
        <f t="shared" si="1"/>
        <v>tross</v>
      </c>
      <c r="D393" s="6" t="s">
        <v>286</v>
      </c>
      <c r="E393" s="5" t="s">
        <v>285</v>
      </c>
      <c r="F393" s="7" t="s">
        <v>14</v>
      </c>
      <c r="G393" s="2" t="str">
        <f>vlookup(D393,'mussel-ID_key'!A:B,2,false)</f>
        <v>tross-control-3</v>
      </c>
      <c r="H393" s="8" t="str">
        <f t="shared" si="2"/>
        <v>tross-control-3-foot</v>
      </c>
      <c r="I393" s="4">
        <f>vlookup(D393,'mussel-ID_key'!A:C,3,false)</f>
        <v>0</v>
      </c>
      <c r="J393" s="2" t="s">
        <v>78</v>
      </c>
      <c r="L393" s="5"/>
      <c r="M393" s="5"/>
    </row>
    <row r="394">
      <c r="A394" s="2" t="s">
        <v>78</v>
      </c>
      <c r="B394" s="2">
        <v>7.0</v>
      </c>
      <c r="C394" s="4" t="str">
        <f t="shared" si="1"/>
        <v>tross</v>
      </c>
      <c r="D394" s="6" t="s">
        <v>289</v>
      </c>
      <c r="E394" s="5" t="s">
        <v>288</v>
      </c>
      <c r="F394" s="7" t="s">
        <v>14</v>
      </c>
      <c r="G394" s="2" t="str">
        <f>vlookup(D394,'mussel-ID_key'!A:B,2,false)</f>
        <v>tross-control-3</v>
      </c>
      <c r="H394" s="8" t="str">
        <f t="shared" si="2"/>
        <v>tross-control-3-foot</v>
      </c>
      <c r="I394" s="4">
        <f>vlookup(D394,'mussel-ID_key'!A:C,3,false)</f>
        <v>0</v>
      </c>
      <c r="J394" s="2" t="s">
        <v>78</v>
      </c>
      <c r="L394" s="5"/>
      <c r="M394" s="5"/>
    </row>
    <row r="395">
      <c r="A395" s="2" t="s">
        <v>78</v>
      </c>
      <c r="B395" s="2">
        <v>7.0</v>
      </c>
      <c r="C395" s="4" t="str">
        <f t="shared" si="1"/>
        <v>tross</v>
      </c>
      <c r="D395" s="6" t="s">
        <v>292</v>
      </c>
      <c r="E395" s="5" t="s">
        <v>291</v>
      </c>
      <c r="F395" s="7" t="s">
        <v>14</v>
      </c>
      <c r="G395" s="2" t="str">
        <f>vlookup(D395,'mussel-ID_key'!A:B,2,false)</f>
        <v>tross-control-3</v>
      </c>
      <c r="H395" s="8" t="str">
        <f t="shared" si="2"/>
        <v>tross-control-3-foot</v>
      </c>
      <c r="I395" s="4">
        <f>vlookup(D395,'mussel-ID_key'!A:C,3,false)</f>
        <v>0</v>
      </c>
      <c r="J395" s="2" t="s">
        <v>78</v>
      </c>
      <c r="L395" s="5"/>
      <c r="M395" s="5"/>
    </row>
    <row r="396">
      <c r="A396" s="2" t="s">
        <v>78</v>
      </c>
      <c r="B396" s="2">
        <v>7.0</v>
      </c>
      <c r="C396" s="4" t="str">
        <f t="shared" si="1"/>
        <v>tross</v>
      </c>
      <c r="D396" s="6" t="s">
        <v>295</v>
      </c>
      <c r="E396" s="5" t="s">
        <v>294</v>
      </c>
      <c r="F396" s="7" t="s">
        <v>14</v>
      </c>
      <c r="G396" s="2" t="str">
        <f>vlookup(D396,'mussel-ID_key'!A:B,2,false)</f>
        <v>tross-control-3</v>
      </c>
      <c r="H396" s="8" t="str">
        <f t="shared" si="2"/>
        <v>tross-control-3-foot</v>
      </c>
      <c r="I396" s="4">
        <f>vlookup(D396,'mussel-ID_key'!A:C,3,false)</f>
        <v>0</v>
      </c>
      <c r="J396" s="2" t="s">
        <v>78</v>
      </c>
      <c r="L396" s="5"/>
      <c r="M396" s="5"/>
    </row>
    <row r="397">
      <c r="A397" s="2" t="s">
        <v>55</v>
      </c>
      <c r="B397" s="2">
        <v>4.0</v>
      </c>
      <c r="C397" s="4" t="str">
        <f t="shared" si="1"/>
        <v>tross</v>
      </c>
      <c r="D397" s="5" t="s">
        <v>247</v>
      </c>
      <c r="E397" s="5" t="s">
        <v>246</v>
      </c>
      <c r="F397" s="2" t="s">
        <v>14</v>
      </c>
      <c r="G397" s="2" t="str">
        <f>vlookup(D397,'mussel-ID_key'!A:B,2,false)</f>
        <v>tross-OA-3</v>
      </c>
      <c r="H397" s="8" t="str">
        <f t="shared" si="2"/>
        <v>tross-OA-3-foot</v>
      </c>
      <c r="I397" s="4">
        <f>vlookup(D397,'mussel-ID_key'!A:C,3,false)</f>
        <v>0</v>
      </c>
      <c r="J397" s="2" t="s">
        <v>55</v>
      </c>
      <c r="L397" s="5"/>
      <c r="M397" s="5"/>
    </row>
    <row r="398">
      <c r="A398" s="2" t="s">
        <v>55</v>
      </c>
      <c r="B398" s="2">
        <v>4.0</v>
      </c>
      <c r="C398" s="4" t="str">
        <f t="shared" si="1"/>
        <v>tross</v>
      </c>
      <c r="D398" s="5" t="s">
        <v>253</v>
      </c>
      <c r="E398" s="5" t="s">
        <v>252</v>
      </c>
      <c r="F398" s="2" t="s">
        <v>14</v>
      </c>
      <c r="G398" s="2" t="str">
        <f>vlookup(D398,'mussel-ID_key'!A:B,2,false)</f>
        <v>tross-OA-3</v>
      </c>
      <c r="H398" s="8" t="str">
        <f t="shared" si="2"/>
        <v>tross-OA-3-foot</v>
      </c>
      <c r="I398" s="4">
        <f>vlookup(D398,'mussel-ID_key'!A:C,3,false)</f>
        <v>0</v>
      </c>
      <c r="J398" s="2" t="s">
        <v>55</v>
      </c>
      <c r="L398" s="5"/>
      <c r="M398" s="5"/>
    </row>
    <row r="399">
      <c r="A399" s="2" t="s">
        <v>55</v>
      </c>
      <c r="B399" s="2">
        <v>4.0</v>
      </c>
      <c r="C399" s="4" t="str">
        <f t="shared" si="1"/>
        <v>tross</v>
      </c>
      <c r="D399" s="5" t="s">
        <v>636</v>
      </c>
      <c r="E399" s="5" t="s">
        <v>637</v>
      </c>
      <c r="F399" s="2" t="s">
        <v>14</v>
      </c>
      <c r="G399" s="2" t="str">
        <f>vlookup(D399,'mussel-ID_key'!A:B,2,false)</f>
        <v>tross-OA-3</v>
      </c>
      <c r="H399" s="8" t="str">
        <f t="shared" si="2"/>
        <v>tross-OA-3-foot</v>
      </c>
      <c r="I399" s="4">
        <f>vlookup(D399,'mussel-ID_key'!A:C,3,false)</f>
        <v>0</v>
      </c>
      <c r="J399" s="2" t="s">
        <v>55</v>
      </c>
      <c r="L399" s="5"/>
      <c r="M399" s="5"/>
    </row>
    <row r="400">
      <c r="A400" s="2" t="s">
        <v>60</v>
      </c>
      <c r="B400" s="2">
        <v>3.0</v>
      </c>
      <c r="C400" s="4" t="str">
        <f t="shared" si="1"/>
        <v>tross</v>
      </c>
      <c r="D400" s="5" t="str">
        <f t="shared" ref="D400:D419" si="18">left(E400,3)</f>
        <v>T14</v>
      </c>
      <c r="E400" s="5" t="s">
        <v>309</v>
      </c>
      <c r="F400" s="5" t="s">
        <v>18</v>
      </c>
      <c r="G400" s="2" t="str">
        <f>vlookup(D400,'mussel-ID_key'!A:B,2,false)</f>
        <v>tross-OA-3</v>
      </c>
      <c r="H400" s="8" t="str">
        <f t="shared" si="2"/>
        <v>tross-OA-3-gill</v>
      </c>
      <c r="I400" s="4">
        <f>vlookup(D400,'mussel-ID_key'!A:C,3,false)</f>
        <v>1</v>
      </c>
      <c r="J400" s="2" t="s">
        <v>60</v>
      </c>
      <c r="L400" s="5"/>
      <c r="M400" s="5"/>
    </row>
    <row r="401">
      <c r="A401" s="2" t="s">
        <v>60</v>
      </c>
      <c r="B401" s="2">
        <v>3.0</v>
      </c>
      <c r="C401" s="4" t="str">
        <f t="shared" si="1"/>
        <v>tross</v>
      </c>
      <c r="D401" s="5" t="str">
        <f t="shared" si="18"/>
        <v>T15</v>
      </c>
      <c r="E401" s="5" t="s">
        <v>342</v>
      </c>
      <c r="F401" s="5" t="s">
        <v>18</v>
      </c>
      <c r="G401" s="2" t="str">
        <f>vlookup(D401,'mussel-ID_key'!A:B,2,false)</f>
        <v>tross-OA-3</v>
      </c>
      <c r="H401" s="8" t="str">
        <f t="shared" si="2"/>
        <v>tross-OA-3-gill</v>
      </c>
      <c r="I401" s="4">
        <f>vlookup(D401,'mussel-ID_key'!A:C,3,false)</f>
        <v>1</v>
      </c>
      <c r="J401" s="2" t="s">
        <v>60</v>
      </c>
      <c r="L401" s="5"/>
      <c r="M401" s="5"/>
    </row>
    <row r="402">
      <c r="A402" s="2" t="s">
        <v>60</v>
      </c>
      <c r="B402" s="2">
        <v>3.0</v>
      </c>
      <c r="C402" s="4" t="str">
        <f t="shared" si="1"/>
        <v>tross</v>
      </c>
      <c r="D402" s="5" t="str">
        <f t="shared" si="18"/>
        <v>T16</v>
      </c>
      <c r="E402" s="5" t="s">
        <v>345</v>
      </c>
      <c r="F402" s="5" t="s">
        <v>18</v>
      </c>
      <c r="G402" s="2" t="str">
        <f>vlookup(D402,'mussel-ID_key'!A:B,2,false)</f>
        <v>tross-OA-3</v>
      </c>
      <c r="H402" s="8" t="str">
        <f t="shared" si="2"/>
        <v>tross-OA-3-gill</v>
      </c>
      <c r="I402" s="4">
        <f>vlookup(D402,'mussel-ID_key'!A:C,3,false)</f>
        <v>1</v>
      </c>
      <c r="J402" s="2" t="s">
        <v>60</v>
      </c>
      <c r="L402" s="5"/>
      <c r="M402" s="5"/>
    </row>
    <row r="403">
      <c r="A403" s="2" t="s">
        <v>60</v>
      </c>
      <c r="B403" s="2">
        <v>3.0</v>
      </c>
      <c r="C403" s="4" t="str">
        <f t="shared" si="1"/>
        <v>tross</v>
      </c>
      <c r="D403" s="5" t="str">
        <f t="shared" si="18"/>
        <v>T17</v>
      </c>
      <c r="E403" s="5" t="s">
        <v>348</v>
      </c>
      <c r="F403" s="5" t="s">
        <v>18</v>
      </c>
      <c r="G403" s="2" t="str">
        <f>vlookup(D403,'mussel-ID_key'!A:B,2,false)</f>
        <v>tross-OA-3</v>
      </c>
      <c r="H403" s="8" t="str">
        <f t="shared" si="2"/>
        <v>tross-OA-3-gill</v>
      </c>
      <c r="I403" s="4">
        <f>vlookup(D403,'mussel-ID_key'!A:C,3,false)</f>
        <v>1</v>
      </c>
      <c r="J403" s="2" t="s">
        <v>60</v>
      </c>
      <c r="L403" s="5"/>
      <c r="M403" s="5"/>
    </row>
    <row r="404">
      <c r="A404" s="2" t="s">
        <v>60</v>
      </c>
      <c r="B404" s="2">
        <v>3.0</v>
      </c>
      <c r="C404" s="4" t="str">
        <f t="shared" si="1"/>
        <v>tross</v>
      </c>
      <c r="D404" s="5" t="str">
        <f t="shared" si="18"/>
        <v>T19</v>
      </c>
      <c r="E404" s="5" t="s">
        <v>351</v>
      </c>
      <c r="F404" s="5" t="s">
        <v>18</v>
      </c>
      <c r="G404" s="2" t="str">
        <f>vlookup(D404,'mussel-ID_key'!A:B,2,false)</f>
        <v>tross-OA-3</v>
      </c>
      <c r="H404" s="8" t="str">
        <f t="shared" si="2"/>
        <v>tross-OA-3-gill</v>
      </c>
      <c r="I404" s="4">
        <f>vlookup(D404,'mussel-ID_key'!A:C,3,false)</f>
        <v>1</v>
      </c>
      <c r="J404" s="2" t="s">
        <v>60</v>
      </c>
      <c r="L404" s="5"/>
      <c r="M404" s="5"/>
    </row>
    <row r="405">
      <c r="A405" s="2" t="s">
        <v>60</v>
      </c>
      <c r="B405" s="2">
        <v>3.0</v>
      </c>
      <c r="C405" s="4" t="str">
        <f t="shared" si="1"/>
        <v>tross</v>
      </c>
      <c r="D405" s="5" t="str">
        <f t="shared" si="18"/>
        <v>T21</v>
      </c>
      <c r="E405" s="5" t="s">
        <v>354</v>
      </c>
      <c r="F405" s="5" t="s">
        <v>18</v>
      </c>
      <c r="G405" s="2" t="str">
        <f>vlookup(D405,'mussel-ID_key'!A:B,2,false)</f>
        <v>tross-OA-3</v>
      </c>
      <c r="H405" s="8" t="str">
        <f t="shared" si="2"/>
        <v>tross-OA-3-gill</v>
      </c>
      <c r="I405" s="4">
        <f>vlookup(D405,'mussel-ID_key'!A:C,3,false)</f>
        <v>1</v>
      </c>
      <c r="J405" s="2" t="s">
        <v>60</v>
      </c>
      <c r="L405" s="5"/>
      <c r="M405" s="5"/>
    </row>
    <row r="406">
      <c r="A406" s="2" t="s">
        <v>60</v>
      </c>
      <c r="B406" s="2">
        <v>3.0</v>
      </c>
      <c r="C406" s="4" t="str">
        <f t="shared" si="1"/>
        <v>tross</v>
      </c>
      <c r="D406" s="5" t="str">
        <f t="shared" si="18"/>
        <v>T23</v>
      </c>
      <c r="E406" s="5" t="s">
        <v>357</v>
      </c>
      <c r="F406" s="5" t="s">
        <v>18</v>
      </c>
      <c r="G406" s="2" t="str">
        <f>vlookup(D406,'mussel-ID_key'!A:B,2,false)</f>
        <v>tross-OA-3</v>
      </c>
      <c r="H406" s="8" t="str">
        <f t="shared" si="2"/>
        <v>tross-OA-3-gill</v>
      </c>
      <c r="I406" s="4">
        <f>vlookup(D406,'mussel-ID_key'!A:C,3,false)</f>
        <v>1</v>
      </c>
      <c r="J406" s="2" t="s">
        <v>60</v>
      </c>
      <c r="L406" s="5"/>
      <c r="M406" s="5"/>
    </row>
    <row r="407">
      <c r="A407" s="2" t="s">
        <v>60</v>
      </c>
      <c r="B407" s="2">
        <v>3.0</v>
      </c>
      <c r="C407" s="4" t="str">
        <f t="shared" si="1"/>
        <v>tross</v>
      </c>
      <c r="D407" s="5" t="str">
        <f t="shared" si="18"/>
        <v>T25</v>
      </c>
      <c r="E407" s="5" t="s">
        <v>360</v>
      </c>
      <c r="F407" s="5" t="s">
        <v>18</v>
      </c>
      <c r="G407" s="2" t="str">
        <f>vlookup(D407,'mussel-ID_key'!A:B,2,false)</f>
        <v>tross-OA-3</v>
      </c>
      <c r="H407" s="8" t="str">
        <f t="shared" si="2"/>
        <v>tross-OA-3-gill</v>
      </c>
      <c r="I407" s="4">
        <f>vlookup(D407,'mussel-ID_key'!A:C,3,false)</f>
        <v>1</v>
      </c>
      <c r="J407" s="2" t="s">
        <v>60</v>
      </c>
      <c r="L407" s="5"/>
      <c r="M407" s="5"/>
    </row>
    <row r="408">
      <c r="A408" s="2" t="s">
        <v>60</v>
      </c>
      <c r="B408" s="2">
        <v>3.0</v>
      </c>
      <c r="C408" s="4" t="str">
        <f t="shared" si="1"/>
        <v>tross</v>
      </c>
      <c r="D408" s="5" t="str">
        <f t="shared" si="18"/>
        <v>T26</v>
      </c>
      <c r="E408" s="5" t="s">
        <v>363</v>
      </c>
      <c r="F408" s="5" t="s">
        <v>18</v>
      </c>
      <c r="G408" s="2" t="str">
        <f>vlookup(D408,'mussel-ID_key'!A:B,2,false)</f>
        <v>tross-OA-3</v>
      </c>
      <c r="H408" s="8" t="str">
        <f t="shared" si="2"/>
        <v>tross-OA-3-gill</v>
      </c>
      <c r="I408" s="4">
        <f>vlookup(D408,'mussel-ID_key'!A:C,3,false)</f>
        <v>1</v>
      </c>
      <c r="J408" s="2" t="s">
        <v>60</v>
      </c>
      <c r="L408" s="5"/>
      <c r="M408" s="5"/>
    </row>
    <row r="409">
      <c r="A409" s="2" t="s">
        <v>60</v>
      </c>
      <c r="B409" s="2">
        <v>3.0</v>
      </c>
      <c r="C409" s="4" t="str">
        <f t="shared" si="1"/>
        <v>tross</v>
      </c>
      <c r="D409" s="5" t="str">
        <f t="shared" si="18"/>
        <v>T27</v>
      </c>
      <c r="E409" s="5" t="s">
        <v>366</v>
      </c>
      <c r="F409" s="5" t="s">
        <v>18</v>
      </c>
      <c r="G409" s="2" t="str">
        <f>vlookup(D409,'mussel-ID_key'!A:B,2,false)</f>
        <v>tross-OA-3</v>
      </c>
      <c r="H409" s="8" t="str">
        <f t="shared" si="2"/>
        <v>tross-OA-3-gill</v>
      </c>
      <c r="I409" s="4">
        <f>vlookup(D409,'mussel-ID_key'!A:C,3,false)</f>
        <v>1</v>
      </c>
      <c r="J409" s="2" t="s">
        <v>60</v>
      </c>
      <c r="L409" s="5"/>
      <c r="M409" s="5"/>
    </row>
    <row r="410">
      <c r="A410" s="2" t="s">
        <v>60</v>
      </c>
      <c r="B410" s="2">
        <v>3.0</v>
      </c>
      <c r="C410" s="4" t="str">
        <f t="shared" si="1"/>
        <v>tross</v>
      </c>
      <c r="D410" s="5" t="str">
        <f t="shared" si="18"/>
        <v>T18</v>
      </c>
      <c r="E410" s="5" t="s">
        <v>638</v>
      </c>
      <c r="F410" s="5" t="s">
        <v>18</v>
      </c>
      <c r="G410" s="2" t="s">
        <v>248</v>
      </c>
      <c r="H410" s="8" t="str">
        <f t="shared" si="2"/>
        <v>tross-OA-3-gill</v>
      </c>
      <c r="I410" s="4">
        <f>vlookup(D410,'mussel-ID_key'!A:C,3,false)</f>
        <v>0</v>
      </c>
      <c r="J410" s="2" t="s">
        <v>60</v>
      </c>
      <c r="L410" s="5"/>
      <c r="M410" s="5"/>
    </row>
    <row r="411">
      <c r="A411" s="2" t="s">
        <v>60</v>
      </c>
      <c r="B411" s="2">
        <v>3.0</v>
      </c>
      <c r="C411" s="4" t="str">
        <f t="shared" si="1"/>
        <v>tross</v>
      </c>
      <c r="D411" s="5" t="str">
        <f t="shared" si="18"/>
        <v>T20</v>
      </c>
      <c r="E411" s="5" t="s">
        <v>639</v>
      </c>
      <c r="F411" s="5" t="s">
        <v>18</v>
      </c>
      <c r="G411" s="2" t="s">
        <v>248</v>
      </c>
      <c r="H411" s="8" t="str">
        <f t="shared" si="2"/>
        <v>tross-OA-3-gill</v>
      </c>
      <c r="I411" s="4">
        <f>vlookup(D411,'mussel-ID_key'!A:C,3,false)</f>
        <v>0</v>
      </c>
      <c r="J411" s="2" t="s">
        <v>60</v>
      </c>
      <c r="L411" s="5"/>
      <c r="M411" s="5"/>
    </row>
    <row r="412">
      <c r="A412" s="2" t="s">
        <v>60</v>
      </c>
      <c r="B412" s="2">
        <v>3.0</v>
      </c>
      <c r="C412" s="4" t="str">
        <f t="shared" si="1"/>
        <v>tross</v>
      </c>
      <c r="D412" s="5" t="str">
        <f t="shared" si="18"/>
        <v>T15</v>
      </c>
      <c r="E412" s="5" t="s">
        <v>640</v>
      </c>
      <c r="F412" s="5" t="s">
        <v>438</v>
      </c>
      <c r="G412" s="2" t="str">
        <f>vlookup(D412,'mussel-ID_key'!A:B,2,false)</f>
        <v>tross-OA-3</v>
      </c>
      <c r="H412" s="8" t="str">
        <f t="shared" si="2"/>
        <v>tross-OA-3-mantle</v>
      </c>
      <c r="I412" s="4">
        <f>vlookup(D412,'mussel-ID_key'!A:C,3,false)</f>
        <v>1</v>
      </c>
      <c r="J412" s="2" t="s">
        <v>60</v>
      </c>
      <c r="L412" s="5"/>
      <c r="M412" s="5"/>
    </row>
    <row r="413">
      <c r="A413" s="2" t="s">
        <v>60</v>
      </c>
      <c r="B413" s="2">
        <v>3.0</v>
      </c>
      <c r="C413" s="4" t="str">
        <f t="shared" si="1"/>
        <v>tross</v>
      </c>
      <c r="D413" s="5" t="str">
        <f t="shared" si="18"/>
        <v>T15</v>
      </c>
      <c r="E413" s="5" t="s">
        <v>640</v>
      </c>
      <c r="F413" s="5" t="s">
        <v>438</v>
      </c>
      <c r="G413" s="2" t="str">
        <f>vlookup(D413,'mussel-ID_key'!A:B,2,false)</f>
        <v>tross-OA-3</v>
      </c>
      <c r="H413" s="8" t="str">
        <f t="shared" si="2"/>
        <v>tross-OA-3-mantle</v>
      </c>
      <c r="I413" s="4">
        <f>vlookup(D413,'mussel-ID_key'!A:C,3,false)</f>
        <v>1</v>
      </c>
      <c r="J413" s="2" t="s">
        <v>60</v>
      </c>
      <c r="L413" s="5"/>
      <c r="M413" s="5"/>
    </row>
    <row r="414">
      <c r="A414" s="2" t="s">
        <v>60</v>
      </c>
      <c r="B414" s="2">
        <v>3.0</v>
      </c>
      <c r="C414" s="4" t="str">
        <f t="shared" si="1"/>
        <v>tross</v>
      </c>
      <c r="D414" s="5" t="str">
        <f t="shared" si="18"/>
        <v>T16</v>
      </c>
      <c r="E414" s="5" t="s">
        <v>641</v>
      </c>
      <c r="F414" s="5" t="s">
        <v>438</v>
      </c>
      <c r="G414" s="2" t="str">
        <f>vlookup(D414,'mussel-ID_key'!A:B,2,false)</f>
        <v>tross-OA-3</v>
      </c>
      <c r="H414" s="8" t="str">
        <f t="shared" si="2"/>
        <v>tross-OA-3-mantle</v>
      </c>
      <c r="I414" s="4">
        <f>vlookup(D414,'mussel-ID_key'!A:C,3,false)</f>
        <v>1</v>
      </c>
      <c r="J414" s="2" t="s">
        <v>60</v>
      </c>
      <c r="L414" s="5"/>
      <c r="M414" s="5"/>
    </row>
    <row r="415">
      <c r="A415" s="2" t="s">
        <v>60</v>
      </c>
      <c r="B415" s="2">
        <v>3.0</v>
      </c>
      <c r="C415" s="4" t="str">
        <f t="shared" si="1"/>
        <v>tross</v>
      </c>
      <c r="D415" s="5" t="str">
        <f t="shared" si="18"/>
        <v>T17</v>
      </c>
      <c r="E415" s="5" t="s">
        <v>642</v>
      </c>
      <c r="F415" s="5" t="s">
        <v>438</v>
      </c>
      <c r="G415" s="2" t="str">
        <f>vlookup(D415,'mussel-ID_key'!A:B,2,false)</f>
        <v>tross-OA-3</v>
      </c>
      <c r="H415" s="8" t="str">
        <f t="shared" si="2"/>
        <v>tross-OA-3-mantle</v>
      </c>
      <c r="I415" s="4">
        <f>vlookup(D415,'mussel-ID_key'!A:C,3,false)</f>
        <v>1</v>
      </c>
      <c r="J415" s="2" t="s">
        <v>60</v>
      </c>
      <c r="L415" s="5"/>
      <c r="M415" s="5"/>
    </row>
    <row r="416">
      <c r="A416" s="2" t="s">
        <v>60</v>
      </c>
      <c r="B416" s="2">
        <v>3.0</v>
      </c>
      <c r="C416" s="4" t="str">
        <f t="shared" si="1"/>
        <v>tross</v>
      </c>
      <c r="D416" s="5" t="str">
        <f t="shared" si="18"/>
        <v>T17</v>
      </c>
      <c r="E416" s="5" t="s">
        <v>642</v>
      </c>
      <c r="F416" s="5" t="s">
        <v>438</v>
      </c>
      <c r="G416" s="2" t="str">
        <f>vlookup(D416,'mussel-ID_key'!A:B,2,false)</f>
        <v>tross-OA-3</v>
      </c>
      <c r="H416" s="8" t="str">
        <f t="shared" si="2"/>
        <v>tross-OA-3-mantle</v>
      </c>
      <c r="I416" s="4">
        <f>vlookup(D416,'mussel-ID_key'!A:C,3,false)</f>
        <v>1</v>
      </c>
      <c r="J416" s="2" t="s">
        <v>60</v>
      </c>
      <c r="L416" s="5"/>
      <c r="M416" s="5"/>
    </row>
    <row r="417">
      <c r="A417" s="2" t="s">
        <v>60</v>
      </c>
      <c r="B417" s="2">
        <v>3.0</v>
      </c>
      <c r="C417" s="4" t="str">
        <f t="shared" si="1"/>
        <v>tross</v>
      </c>
      <c r="D417" s="5" t="str">
        <f t="shared" si="18"/>
        <v>T19</v>
      </c>
      <c r="E417" s="5" t="s">
        <v>643</v>
      </c>
      <c r="F417" s="5" t="s">
        <v>438</v>
      </c>
      <c r="G417" s="2" t="str">
        <f>vlookup(D417,'mussel-ID_key'!A:B,2,false)</f>
        <v>tross-OA-3</v>
      </c>
      <c r="H417" s="8" t="str">
        <f t="shared" si="2"/>
        <v>tross-OA-3-mantle</v>
      </c>
      <c r="I417" s="4">
        <f>vlookup(D417,'mussel-ID_key'!A:C,3,false)</f>
        <v>1</v>
      </c>
      <c r="J417" s="2" t="s">
        <v>60</v>
      </c>
      <c r="L417" s="5"/>
      <c r="M417" s="5"/>
    </row>
    <row r="418">
      <c r="A418" s="2" t="s">
        <v>60</v>
      </c>
      <c r="B418" s="2">
        <v>3.0</v>
      </c>
      <c r="C418" s="4" t="str">
        <f t="shared" si="1"/>
        <v>tross</v>
      </c>
      <c r="D418" s="5" t="str">
        <f t="shared" si="18"/>
        <v>T21</v>
      </c>
      <c r="E418" s="5" t="s">
        <v>644</v>
      </c>
      <c r="F418" s="5" t="s">
        <v>438</v>
      </c>
      <c r="G418" s="2" t="str">
        <f>vlookup(D418,'mussel-ID_key'!A:B,2,false)</f>
        <v>tross-OA-3</v>
      </c>
      <c r="H418" s="8" t="str">
        <f t="shared" si="2"/>
        <v>tross-OA-3-mantle</v>
      </c>
      <c r="I418" s="4">
        <f>vlookup(D418,'mussel-ID_key'!A:C,3,false)</f>
        <v>1</v>
      </c>
      <c r="J418" s="2" t="s">
        <v>60</v>
      </c>
      <c r="L418" s="5"/>
      <c r="M418" s="5"/>
    </row>
    <row r="419">
      <c r="A419" s="2" t="s">
        <v>60</v>
      </c>
      <c r="B419" s="2">
        <v>3.0</v>
      </c>
      <c r="C419" s="4" t="str">
        <f t="shared" si="1"/>
        <v>tross</v>
      </c>
      <c r="D419" s="5" t="str">
        <f t="shared" si="18"/>
        <v>T27</v>
      </c>
      <c r="E419" s="5" t="s">
        <v>645</v>
      </c>
      <c r="F419" s="5" t="s">
        <v>438</v>
      </c>
      <c r="G419" s="2" t="str">
        <f>vlookup(D419,'mussel-ID_key'!A:B,2,false)</f>
        <v>tross-OA-3</v>
      </c>
      <c r="H419" s="8" t="str">
        <f t="shared" si="2"/>
        <v>tross-OA-3-mantle</v>
      </c>
      <c r="I419" s="4">
        <f>vlookup(D419,'mussel-ID_key'!A:C,3,false)</f>
        <v>1</v>
      </c>
      <c r="J419" s="2" t="s">
        <v>60</v>
      </c>
      <c r="L419" s="5"/>
      <c r="M419" s="5"/>
    </row>
    <row r="420">
      <c r="A420" s="2" t="s">
        <v>55</v>
      </c>
      <c r="B420" s="2">
        <v>4.0</v>
      </c>
      <c r="C420" s="4" t="str">
        <f t="shared" si="1"/>
        <v>tross</v>
      </c>
      <c r="D420" s="5" t="s">
        <v>308</v>
      </c>
      <c r="E420" s="5" t="s">
        <v>646</v>
      </c>
      <c r="F420" s="2" t="s">
        <v>438</v>
      </c>
      <c r="G420" s="2" t="str">
        <f>vlookup(D420,'mussel-ID_key'!A:B,2,false)</f>
        <v>tross-OA-3</v>
      </c>
      <c r="H420" s="8" t="str">
        <f t="shared" si="2"/>
        <v>tross-OA-3-mantle</v>
      </c>
      <c r="I420" s="4">
        <f>vlookup(D420,'mussel-ID_key'!A:C,3,false)</f>
        <v>1</v>
      </c>
      <c r="J420" s="2" t="s">
        <v>55</v>
      </c>
      <c r="L420" s="5"/>
      <c r="M420" s="5"/>
    </row>
    <row r="421">
      <c r="A421" s="2" t="s">
        <v>55</v>
      </c>
      <c r="B421" s="2">
        <v>4.0</v>
      </c>
      <c r="C421" s="4" t="str">
        <f t="shared" si="1"/>
        <v>tross</v>
      </c>
      <c r="D421" s="5" t="s">
        <v>344</v>
      </c>
      <c r="E421" s="5" t="s">
        <v>641</v>
      </c>
      <c r="F421" s="2" t="s">
        <v>438</v>
      </c>
      <c r="G421" s="2" t="str">
        <f>vlookup(D421,'mussel-ID_key'!A:B,2,false)</f>
        <v>tross-OA-3</v>
      </c>
      <c r="H421" s="8" t="str">
        <f t="shared" si="2"/>
        <v>tross-OA-3-mantle</v>
      </c>
      <c r="I421" s="4">
        <f>vlookup(D421,'mussel-ID_key'!A:C,3,false)</f>
        <v>1</v>
      </c>
      <c r="J421" s="2" t="s">
        <v>55</v>
      </c>
      <c r="L421" s="5"/>
      <c r="M421" s="5"/>
    </row>
    <row r="422">
      <c r="A422" s="2" t="s">
        <v>55</v>
      </c>
      <c r="B422" s="2">
        <v>4.0</v>
      </c>
      <c r="C422" s="4" t="str">
        <f t="shared" si="1"/>
        <v>tross</v>
      </c>
      <c r="D422" s="5" t="s">
        <v>350</v>
      </c>
      <c r="E422" s="5" t="s">
        <v>643</v>
      </c>
      <c r="F422" s="2" t="s">
        <v>438</v>
      </c>
      <c r="G422" s="2" t="str">
        <f>vlookup(D422,'mussel-ID_key'!A:B,2,false)</f>
        <v>tross-OA-3</v>
      </c>
      <c r="H422" s="8" t="str">
        <f t="shared" si="2"/>
        <v>tross-OA-3-mantle</v>
      </c>
      <c r="I422" s="4">
        <f>vlookup(D422,'mussel-ID_key'!A:C,3,false)</f>
        <v>1</v>
      </c>
      <c r="J422" s="2" t="s">
        <v>55</v>
      </c>
      <c r="L422" s="5"/>
      <c r="M422" s="5"/>
    </row>
    <row r="423">
      <c r="A423" s="2" t="s">
        <v>55</v>
      </c>
      <c r="B423" s="2">
        <v>4.0</v>
      </c>
      <c r="C423" s="4" t="str">
        <f t="shared" si="1"/>
        <v>tross</v>
      </c>
      <c r="D423" s="5" t="s">
        <v>356</v>
      </c>
      <c r="E423" s="5" t="s">
        <v>647</v>
      </c>
      <c r="F423" s="2" t="s">
        <v>438</v>
      </c>
      <c r="G423" s="2" t="str">
        <f>vlookup(D423,'mussel-ID_key'!A:B,2,false)</f>
        <v>tross-OA-3</v>
      </c>
      <c r="H423" s="8" t="str">
        <f t="shared" si="2"/>
        <v>tross-OA-3-mantle</v>
      </c>
      <c r="I423" s="4">
        <f>vlookup(D423,'mussel-ID_key'!A:C,3,false)</f>
        <v>1</v>
      </c>
      <c r="J423" s="2" t="s">
        <v>55</v>
      </c>
      <c r="L423" s="5"/>
      <c r="M423" s="5"/>
    </row>
    <row r="424">
      <c r="A424" s="2" t="s">
        <v>55</v>
      </c>
      <c r="B424" s="2">
        <v>4.0</v>
      </c>
      <c r="C424" s="4" t="str">
        <f t="shared" si="1"/>
        <v>tross</v>
      </c>
      <c r="D424" s="5" t="s">
        <v>359</v>
      </c>
      <c r="E424" s="5" t="s">
        <v>648</v>
      </c>
      <c r="F424" s="2" t="s">
        <v>438</v>
      </c>
      <c r="G424" s="2" t="str">
        <f>vlookup(D424,'mussel-ID_key'!A:B,2,false)</f>
        <v>tross-OA-3</v>
      </c>
      <c r="H424" s="8" t="str">
        <f t="shared" si="2"/>
        <v>tross-OA-3-mantle</v>
      </c>
      <c r="I424" s="4">
        <f>vlookup(D424,'mussel-ID_key'!A:C,3,false)</f>
        <v>1</v>
      </c>
      <c r="J424" s="2" t="s">
        <v>55</v>
      </c>
      <c r="L424" s="5"/>
      <c r="M424" s="5"/>
    </row>
    <row r="425">
      <c r="A425" s="2" t="s">
        <v>55</v>
      </c>
      <c r="B425" s="2">
        <v>4.0</v>
      </c>
      <c r="C425" s="4" t="str">
        <f t="shared" si="1"/>
        <v>tross</v>
      </c>
      <c r="D425" s="5" t="s">
        <v>362</v>
      </c>
      <c r="E425" s="5" t="s">
        <v>649</v>
      </c>
      <c r="F425" s="2" t="s">
        <v>438</v>
      </c>
      <c r="G425" s="2" t="str">
        <f>vlookup(D425,'mussel-ID_key'!A:B,2,false)</f>
        <v>tross-OA-3</v>
      </c>
      <c r="H425" s="8" t="str">
        <f t="shared" si="2"/>
        <v>tross-OA-3-mantle</v>
      </c>
      <c r="I425" s="4">
        <f>vlookup(D425,'mussel-ID_key'!A:C,3,false)</f>
        <v>1</v>
      </c>
      <c r="J425" s="2" t="s">
        <v>55</v>
      </c>
      <c r="L425" s="5"/>
      <c r="M425" s="5"/>
    </row>
    <row r="426">
      <c r="A426" s="2" t="s">
        <v>60</v>
      </c>
      <c r="B426" s="2">
        <v>3.0</v>
      </c>
      <c r="C426" s="4" t="str">
        <f t="shared" si="1"/>
        <v>tross</v>
      </c>
      <c r="D426" s="5" t="str">
        <f>left(E426,3)</f>
        <v>T13</v>
      </c>
      <c r="E426" s="5" t="s">
        <v>650</v>
      </c>
      <c r="F426" s="5" t="s">
        <v>438</v>
      </c>
      <c r="G426" s="2" t="s">
        <v>248</v>
      </c>
      <c r="H426" s="8" t="str">
        <f t="shared" si="2"/>
        <v>tross-OA-3-mantle</v>
      </c>
      <c r="I426" s="4">
        <f>vlookup(D426,'mussel-ID_key'!A:C,3,false)</f>
        <v>0</v>
      </c>
      <c r="J426" s="2" t="s">
        <v>60</v>
      </c>
      <c r="L426" s="5"/>
      <c r="M426" s="5"/>
    </row>
    <row r="427">
      <c r="A427" s="2" t="s">
        <v>55</v>
      </c>
      <c r="B427" s="2">
        <v>4.0</v>
      </c>
      <c r="C427" s="4" t="str">
        <f t="shared" si="1"/>
        <v>tross</v>
      </c>
      <c r="D427" s="5" t="s">
        <v>247</v>
      </c>
      <c r="E427" s="5" t="s">
        <v>651</v>
      </c>
      <c r="F427" s="2" t="s">
        <v>438</v>
      </c>
      <c r="G427" s="2" t="str">
        <f>vlookup(D427,'mussel-ID_key'!A:B,2,false)</f>
        <v>tross-OA-3</v>
      </c>
      <c r="H427" s="8" t="str">
        <f t="shared" si="2"/>
        <v>tross-OA-3-mantle</v>
      </c>
      <c r="I427" s="4">
        <f>vlookup(D427,'mussel-ID_key'!A:C,3,false)</f>
        <v>0</v>
      </c>
      <c r="J427" s="2" t="s">
        <v>55</v>
      </c>
      <c r="L427" s="5"/>
      <c r="M427" s="5"/>
    </row>
    <row r="428">
      <c r="A428" s="2" t="s">
        <v>55</v>
      </c>
      <c r="B428" s="2">
        <v>4.0</v>
      </c>
      <c r="C428" s="4" t="str">
        <f t="shared" si="1"/>
        <v>tross</v>
      </c>
      <c r="D428" s="5" t="s">
        <v>636</v>
      </c>
      <c r="E428" s="5" t="s">
        <v>652</v>
      </c>
      <c r="F428" s="2" t="s">
        <v>438</v>
      </c>
      <c r="G428" s="2" t="str">
        <f>vlookup(D428,'mussel-ID_key'!A:B,2,false)</f>
        <v>tross-OA-3</v>
      </c>
      <c r="H428" s="8" t="str">
        <f t="shared" si="2"/>
        <v>tross-OA-3-mantle</v>
      </c>
      <c r="I428" s="4">
        <f>vlookup(D428,'mussel-ID_key'!A:C,3,false)</f>
        <v>0</v>
      </c>
      <c r="J428" s="2" t="s">
        <v>55</v>
      </c>
      <c r="L428" s="5"/>
      <c r="M428" s="5"/>
    </row>
    <row r="429">
      <c r="A429" s="2" t="s">
        <v>55</v>
      </c>
      <c r="B429" s="2">
        <v>4.0</v>
      </c>
      <c r="C429" s="4" t="str">
        <f t="shared" si="1"/>
        <v>tross</v>
      </c>
      <c r="D429" s="5" t="s">
        <v>653</v>
      </c>
      <c r="E429" s="5" t="s">
        <v>654</v>
      </c>
      <c r="F429" s="2" t="s">
        <v>14</v>
      </c>
      <c r="G429" s="2" t="str">
        <f>vlookup(D429,'mussel-ID_key'!A:B,2,false)</f>
        <v>tross-OW-1</v>
      </c>
      <c r="H429" s="8" t="str">
        <f t="shared" si="2"/>
        <v>tross-OW-1-foot</v>
      </c>
      <c r="I429" s="4">
        <f>vlookup(D429,'mussel-ID_key'!A:C,3,false)</f>
        <v>0</v>
      </c>
      <c r="J429" s="2" t="s">
        <v>55</v>
      </c>
      <c r="L429" s="5"/>
      <c r="M429" s="5"/>
    </row>
    <row r="430">
      <c r="A430" s="2" t="s">
        <v>55</v>
      </c>
      <c r="B430" s="2">
        <v>4.0</v>
      </c>
      <c r="C430" s="4" t="str">
        <f t="shared" si="1"/>
        <v>tross</v>
      </c>
      <c r="D430" s="5" t="s">
        <v>655</v>
      </c>
      <c r="E430" s="5" t="s">
        <v>656</v>
      </c>
      <c r="F430" s="2" t="s">
        <v>14</v>
      </c>
      <c r="G430" s="2" t="str">
        <f>vlookup(D430,'mussel-ID_key'!A:B,2,false)</f>
        <v>tross-OW-1</v>
      </c>
      <c r="H430" s="8" t="str">
        <f t="shared" si="2"/>
        <v>tross-OW-1-foot</v>
      </c>
      <c r="I430" s="4">
        <f>vlookup(D430,'mussel-ID_key'!A:C,3,false)</f>
        <v>0</v>
      </c>
      <c r="J430" s="2" t="s">
        <v>55</v>
      </c>
      <c r="L430" s="5"/>
      <c r="M430" s="5"/>
    </row>
    <row r="431">
      <c r="A431" s="2" t="s">
        <v>55</v>
      </c>
      <c r="B431" s="2">
        <v>4.0</v>
      </c>
      <c r="C431" s="4" t="str">
        <f t="shared" si="1"/>
        <v>tross</v>
      </c>
      <c r="D431" s="5" t="s">
        <v>657</v>
      </c>
      <c r="E431" s="5" t="s">
        <v>658</v>
      </c>
      <c r="F431" s="2" t="s">
        <v>14</v>
      </c>
      <c r="G431" s="2" t="str">
        <f>vlookup(D431,'mussel-ID_key'!A:B,2,false)</f>
        <v>tross-OW-1</v>
      </c>
      <c r="H431" s="8" t="str">
        <f t="shared" si="2"/>
        <v>tross-OW-1-foot</v>
      </c>
      <c r="I431" s="4">
        <f>vlookup(D431,'mussel-ID_key'!A:C,3,false)</f>
        <v>0</v>
      </c>
      <c r="J431" s="2" t="s">
        <v>55</v>
      </c>
      <c r="L431" s="5"/>
      <c r="M431" s="5"/>
    </row>
    <row r="432">
      <c r="A432" s="2" t="s">
        <v>55</v>
      </c>
      <c r="B432" s="2">
        <v>4.0</v>
      </c>
      <c r="C432" s="4" t="str">
        <f t="shared" si="1"/>
        <v>tross</v>
      </c>
      <c r="D432" s="5" t="s">
        <v>659</v>
      </c>
      <c r="E432" s="5" t="s">
        <v>660</v>
      </c>
      <c r="F432" s="2" t="s">
        <v>14</v>
      </c>
      <c r="G432" s="2" t="str">
        <f>vlookup(D432,'mussel-ID_key'!A:B,2,false)</f>
        <v>tross-OW-1</v>
      </c>
      <c r="H432" s="8" t="str">
        <f t="shared" si="2"/>
        <v>tross-OW-1-foot</v>
      </c>
      <c r="I432" s="4">
        <f>vlookup(D432,'mussel-ID_key'!A:C,3,false)</f>
        <v>0</v>
      </c>
      <c r="J432" s="2" t="s">
        <v>55</v>
      </c>
      <c r="L432" s="5"/>
      <c r="M432" s="5"/>
    </row>
    <row r="433">
      <c r="A433" s="2" t="s">
        <v>55</v>
      </c>
      <c r="B433" s="2">
        <v>4.0</v>
      </c>
      <c r="C433" s="4" t="str">
        <f t="shared" si="1"/>
        <v>tross</v>
      </c>
      <c r="D433" s="5" t="s">
        <v>661</v>
      </c>
      <c r="E433" s="5" t="s">
        <v>662</v>
      </c>
      <c r="F433" s="2" t="s">
        <v>14</v>
      </c>
      <c r="G433" s="2" t="str">
        <f>vlookup(D433,'mussel-ID_key'!A:B,2,false)</f>
        <v>tross-OW-1</v>
      </c>
      <c r="H433" s="8" t="str">
        <f t="shared" si="2"/>
        <v>tross-OW-1-foot</v>
      </c>
      <c r="I433" s="4">
        <f>vlookup(D433,'mussel-ID_key'!A:C,3,false)</f>
        <v>0</v>
      </c>
      <c r="J433" s="2" t="s">
        <v>55</v>
      </c>
      <c r="L433" s="5"/>
      <c r="M433" s="5"/>
    </row>
    <row r="434">
      <c r="A434" s="2" t="s">
        <v>60</v>
      </c>
      <c r="B434" s="2">
        <v>3.0</v>
      </c>
      <c r="C434" s="4" t="str">
        <f t="shared" si="1"/>
        <v>tross</v>
      </c>
      <c r="D434" s="5" t="str">
        <f t="shared" ref="D434:D443" si="19">left(E434,3)</f>
        <v>T64</v>
      </c>
      <c r="E434" s="5" t="s">
        <v>663</v>
      </c>
      <c r="F434" s="5" t="s">
        <v>18</v>
      </c>
      <c r="G434" s="2" t="str">
        <f>vlookup(D434,'mussel-ID_key'!A:B,2,false)</f>
        <v>tross-OW-1</v>
      </c>
      <c r="H434" s="8" t="str">
        <f t="shared" si="2"/>
        <v>tross-OW-1-gill</v>
      </c>
      <c r="I434" s="4">
        <f>vlookup(D434,'mussel-ID_key'!A:C,3,false)</f>
        <v>0</v>
      </c>
      <c r="J434" s="2" t="s">
        <v>60</v>
      </c>
      <c r="L434" s="5"/>
      <c r="M434" s="5"/>
    </row>
    <row r="435">
      <c r="A435" s="2" t="s">
        <v>60</v>
      </c>
      <c r="B435" s="2">
        <v>3.0</v>
      </c>
      <c r="C435" s="4" t="str">
        <f t="shared" si="1"/>
        <v>tross</v>
      </c>
      <c r="D435" s="5" t="str">
        <f t="shared" si="19"/>
        <v>T65</v>
      </c>
      <c r="E435" s="5" t="s">
        <v>664</v>
      </c>
      <c r="F435" s="5" t="s">
        <v>18</v>
      </c>
      <c r="G435" s="2" t="str">
        <f>vlookup(D435,'mussel-ID_key'!A:B,2,false)</f>
        <v>tross-OW-1</v>
      </c>
      <c r="H435" s="8" t="str">
        <f t="shared" si="2"/>
        <v>tross-OW-1-gill</v>
      </c>
      <c r="I435" s="4">
        <f>vlookup(D435,'mussel-ID_key'!A:C,3,false)</f>
        <v>0</v>
      </c>
      <c r="J435" s="2" t="s">
        <v>60</v>
      </c>
      <c r="L435" s="5"/>
      <c r="M435" s="5"/>
    </row>
    <row r="436">
      <c r="A436" s="2" t="s">
        <v>60</v>
      </c>
      <c r="B436" s="2">
        <v>3.0</v>
      </c>
      <c r="C436" s="4" t="str">
        <f t="shared" si="1"/>
        <v>tross</v>
      </c>
      <c r="D436" s="5" t="str">
        <f t="shared" si="19"/>
        <v>T66</v>
      </c>
      <c r="E436" s="5" t="s">
        <v>665</v>
      </c>
      <c r="F436" s="5" t="s">
        <v>18</v>
      </c>
      <c r="G436" s="2" t="str">
        <f>vlookup(D436,'mussel-ID_key'!A:B,2,false)</f>
        <v>tross-OW-1</v>
      </c>
      <c r="H436" s="8" t="str">
        <f t="shared" si="2"/>
        <v>tross-OW-1-gill</v>
      </c>
      <c r="I436" s="4">
        <f>vlookup(D436,'mussel-ID_key'!A:C,3,false)</f>
        <v>0</v>
      </c>
      <c r="J436" s="2" t="s">
        <v>60</v>
      </c>
      <c r="L436" s="5"/>
      <c r="M436" s="5"/>
    </row>
    <row r="437">
      <c r="A437" s="2" t="s">
        <v>60</v>
      </c>
      <c r="B437" s="2">
        <v>3.0</v>
      </c>
      <c r="C437" s="4" t="str">
        <f t="shared" si="1"/>
        <v>tross</v>
      </c>
      <c r="D437" s="5" t="str">
        <f t="shared" si="19"/>
        <v>T67</v>
      </c>
      <c r="E437" s="5" t="s">
        <v>666</v>
      </c>
      <c r="F437" s="5" t="s">
        <v>18</v>
      </c>
      <c r="G437" s="2" t="str">
        <f>vlookup(D437,'mussel-ID_key'!A:B,2,false)</f>
        <v>tross-OW-1</v>
      </c>
      <c r="H437" s="8" t="str">
        <f t="shared" si="2"/>
        <v>tross-OW-1-gill</v>
      </c>
      <c r="I437" s="4">
        <f>vlookup(D437,'mussel-ID_key'!A:C,3,false)</f>
        <v>0</v>
      </c>
      <c r="J437" s="2" t="s">
        <v>60</v>
      </c>
      <c r="L437" s="5"/>
      <c r="M437" s="5"/>
    </row>
    <row r="438">
      <c r="A438" s="2" t="s">
        <v>60</v>
      </c>
      <c r="B438" s="2">
        <v>3.0</v>
      </c>
      <c r="C438" s="4" t="str">
        <f t="shared" si="1"/>
        <v>tross</v>
      </c>
      <c r="D438" s="5" t="str">
        <f t="shared" si="19"/>
        <v>T67</v>
      </c>
      <c r="E438" s="5" t="s">
        <v>666</v>
      </c>
      <c r="F438" s="5" t="s">
        <v>18</v>
      </c>
      <c r="G438" s="2" t="str">
        <f>vlookup(D438,'mussel-ID_key'!A:B,2,false)</f>
        <v>tross-OW-1</v>
      </c>
      <c r="H438" s="8" t="str">
        <f t="shared" si="2"/>
        <v>tross-OW-1-gill</v>
      </c>
      <c r="I438" s="4">
        <f>vlookup(D438,'mussel-ID_key'!A:C,3,false)</f>
        <v>0</v>
      </c>
      <c r="J438" s="2" t="s">
        <v>60</v>
      </c>
      <c r="L438" s="5"/>
      <c r="M438" s="5"/>
    </row>
    <row r="439">
      <c r="A439" s="2" t="s">
        <v>60</v>
      </c>
      <c r="B439" s="2">
        <v>3.0</v>
      </c>
      <c r="C439" s="4" t="str">
        <f t="shared" si="1"/>
        <v>tross</v>
      </c>
      <c r="D439" s="5" t="str">
        <f t="shared" si="19"/>
        <v>T68</v>
      </c>
      <c r="E439" s="5" t="s">
        <v>667</v>
      </c>
      <c r="F439" s="5" t="s">
        <v>18</v>
      </c>
      <c r="G439" s="2" t="str">
        <f>vlookup(D439,'mussel-ID_key'!A:B,2,false)</f>
        <v>tross-OW-1</v>
      </c>
      <c r="H439" s="8" t="str">
        <f t="shared" si="2"/>
        <v>tross-OW-1-gill</v>
      </c>
      <c r="I439" s="4">
        <f>vlookup(D439,'mussel-ID_key'!A:C,3,false)</f>
        <v>0</v>
      </c>
      <c r="J439" s="2" t="s">
        <v>60</v>
      </c>
      <c r="L439" s="5"/>
      <c r="M439" s="5"/>
    </row>
    <row r="440">
      <c r="A440" s="2" t="s">
        <v>60</v>
      </c>
      <c r="B440" s="2">
        <v>3.0</v>
      </c>
      <c r="C440" s="4" t="str">
        <f t="shared" si="1"/>
        <v>tross</v>
      </c>
      <c r="D440" s="5" t="str">
        <f t="shared" si="19"/>
        <v>T65</v>
      </c>
      <c r="E440" s="5" t="s">
        <v>668</v>
      </c>
      <c r="F440" s="5" t="s">
        <v>438</v>
      </c>
      <c r="G440" s="2" t="str">
        <f>vlookup(D440,'mussel-ID_key'!A:B,2,false)</f>
        <v>tross-OW-1</v>
      </c>
      <c r="H440" s="8" t="str">
        <f t="shared" si="2"/>
        <v>tross-OW-1-mantle</v>
      </c>
      <c r="I440" s="4">
        <f>vlookup(D440,'mussel-ID_key'!A:C,3,false)</f>
        <v>0</v>
      </c>
      <c r="J440" s="2" t="s">
        <v>60</v>
      </c>
      <c r="L440" s="5"/>
      <c r="M440" s="5"/>
    </row>
    <row r="441">
      <c r="A441" s="2" t="s">
        <v>60</v>
      </c>
      <c r="B441" s="2">
        <v>3.0</v>
      </c>
      <c r="C441" s="4" t="str">
        <f t="shared" si="1"/>
        <v>tross</v>
      </c>
      <c r="D441" s="5" t="str">
        <f t="shared" si="19"/>
        <v>T66</v>
      </c>
      <c r="E441" s="5" t="s">
        <v>669</v>
      </c>
      <c r="F441" s="5" t="s">
        <v>438</v>
      </c>
      <c r="G441" s="2" t="str">
        <f>vlookup(D441,'mussel-ID_key'!A:B,2,false)</f>
        <v>tross-OW-1</v>
      </c>
      <c r="H441" s="8" t="str">
        <f t="shared" si="2"/>
        <v>tross-OW-1-mantle</v>
      </c>
      <c r="I441" s="4">
        <f>vlookup(D441,'mussel-ID_key'!A:C,3,false)</f>
        <v>0</v>
      </c>
      <c r="J441" s="2" t="s">
        <v>60</v>
      </c>
      <c r="L441" s="5"/>
      <c r="M441" s="5"/>
    </row>
    <row r="442">
      <c r="A442" s="2" t="s">
        <v>60</v>
      </c>
      <c r="B442" s="2">
        <v>3.0</v>
      </c>
      <c r="C442" s="4" t="str">
        <f t="shared" si="1"/>
        <v>tross</v>
      </c>
      <c r="D442" s="5" t="str">
        <f t="shared" si="19"/>
        <v>T67</v>
      </c>
      <c r="E442" s="5" t="s">
        <v>670</v>
      </c>
      <c r="F442" s="5" t="s">
        <v>438</v>
      </c>
      <c r="G442" s="2" t="str">
        <f>vlookup(D442,'mussel-ID_key'!A:B,2,false)</f>
        <v>tross-OW-1</v>
      </c>
      <c r="H442" s="8" t="str">
        <f t="shared" si="2"/>
        <v>tross-OW-1-mantle</v>
      </c>
      <c r="I442" s="4">
        <f>vlookup(D442,'mussel-ID_key'!A:C,3,false)</f>
        <v>0</v>
      </c>
      <c r="J442" s="2" t="s">
        <v>60</v>
      </c>
      <c r="L442" s="5"/>
      <c r="M442" s="5"/>
    </row>
    <row r="443">
      <c r="A443" s="2" t="s">
        <v>60</v>
      </c>
      <c r="B443" s="2">
        <v>3.0</v>
      </c>
      <c r="C443" s="4" t="str">
        <f t="shared" si="1"/>
        <v>tross</v>
      </c>
      <c r="D443" s="5" t="str">
        <f t="shared" si="19"/>
        <v>T68</v>
      </c>
      <c r="E443" s="5" t="s">
        <v>671</v>
      </c>
      <c r="F443" s="5" t="s">
        <v>438</v>
      </c>
      <c r="G443" s="2" t="str">
        <f>vlookup(D443,'mussel-ID_key'!A:B,2,false)</f>
        <v>tross-OW-1</v>
      </c>
      <c r="H443" s="8" t="str">
        <f t="shared" si="2"/>
        <v>tross-OW-1-mantle</v>
      </c>
      <c r="I443" s="4">
        <f>vlookup(D443,'mussel-ID_key'!A:C,3,false)</f>
        <v>0</v>
      </c>
      <c r="J443" s="2" t="s">
        <v>60</v>
      </c>
      <c r="L443" s="5"/>
      <c r="M443" s="5"/>
    </row>
    <row r="444">
      <c r="A444" s="2" t="s">
        <v>55</v>
      </c>
      <c r="B444" s="2">
        <v>4.0</v>
      </c>
      <c r="C444" s="4" t="str">
        <f t="shared" si="1"/>
        <v>tross</v>
      </c>
      <c r="D444" s="5" t="s">
        <v>653</v>
      </c>
      <c r="E444" s="5" t="s">
        <v>672</v>
      </c>
      <c r="F444" s="2" t="s">
        <v>438</v>
      </c>
      <c r="G444" s="2" t="str">
        <f>vlookup(D444,'mussel-ID_key'!A:B,2,false)</f>
        <v>tross-OW-1</v>
      </c>
      <c r="H444" s="8" t="str">
        <f t="shared" si="2"/>
        <v>tross-OW-1-mantle</v>
      </c>
      <c r="I444" s="4">
        <f>vlookup(D444,'mussel-ID_key'!A:C,3,false)</f>
        <v>0</v>
      </c>
      <c r="J444" s="2" t="s">
        <v>55</v>
      </c>
      <c r="L444" s="5"/>
      <c r="M444" s="5"/>
    </row>
    <row r="445">
      <c r="A445" s="2" t="s">
        <v>78</v>
      </c>
      <c r="B445" s="2">
        <v>7.0</v>
      </c>
      <c r="C445" s="4" t="str">
        <f t="shared" si="1"/>
        <v>tross</v>
      </c>
      <c r="D445" s="6" t="str">
        <f t="shared" ref="D445:D498" si="20">left(E445,3)</f>
        <v>T29</v>
      </c>
      <c r="E445" s="5" t="s">
        <v>367</v>
      </c>
      <c r="F445" s="7" t="s">
        <v>14</v>
      </c>
      <c r="G445" s="2" t="str">
        <f>vlookup(D445,'mussel-ID_key'!A:B,2,false)</f>
        <v>tross-OW-3</v>
      </c>
      <c r="H445" s="8" t="str">
        <f t="shared" si="2"/>
        <v>tross-OW-3-foot</v>
      </c>
      <c r="I445" s="4">
        <f>vlookup(D445,'mussel-ID_key'!A:C,3,false)</f>
        <v>1</v>
      </c>
      <c r="J445" s="2" t="s">
        <v>78</v>
      </c>
      <c r="L445" s="5"/>
      <c r="M445" s="5"/>
    </row>
    <row r="446">
      <c r="A446" s="2" t="s">
        <v>78</v>
      </c>
      <c r="B446" s="2">
        <v>7.0</v>
      </c>
      <c r="C446" s="4" t="str">
        <f t="shared" si="1"/>
        <v>tross</v>
      </c>
      <c r="D446" s="6" t="str">
        <f t="shared" si="20"/>
        <v>T30</v>
      </c>
      <c r="E446" s="5" t="s">
        <v>373</v>
      </c>
      <c r="F446" s="7" t="s">
        <v>14</v>
      </c>
      <c r="G446" s="2" t="str">
        <f>vlookup(D446,'mussel-ID_key'!A:B,2,false)</f>
        <v>tross-OW-3</v>
      </c>
      <c r="H446" s="8" t="str">
        <f t="shared" si="2"/>
        <v>tross-OW-3-foot</v>
      </c>
      <c r="I446" s="4">
        <f>vlookup(D446,'mussel-ID_key'!A:C,3,false)</f>
        <v>1</v>
      </c>
      <c r="J446" s="2" t="s">
        <v>78</v>
      </c>
      <c r="L446" s="5"/>
      <c r="M446" s="5"/>
    </row>
    <row r="447">
      <c r="A447" s="2" t="s">
        <v>78</v>
      </c>
      <c r="B447" s="2">
        <v>7.0</v>
      </c>
      <c r="C447" s="4" t="str">
        <f t="shared" si="1"/>
        <v>tross</v>
      </c>
      <c r="D447" s="6" t="str">
        <f t="shared" si="20"/>
        <v>T31</v>
      </c>
      <c r="E447" s="5" t="s">
        <v>376</v>
      </c>
      <c r="F447" s="7" t="s">
        <v>14</v>
      </c>
      <c r="G447" s="2" t="str">
        <f>vlookup(D447,'mussel-ID_key'!A:B,2,false)</f>
        <v>tross-OW-3</v>
      </c>
      <c r="H447" s="8" t="str">
        <f t="shared" si="2"/>
        <v>tross-OW-3-foot</v>
      </c>
      <c r="I447" s="4">
        <f>vlookup(D447,'mussel-ID_key'!A:C,3,false)</f>
        <v>1</v>
      </c>
      <c r="J447" s="2" t="s">
        <v>78</v>
      </c>
      <c r="L447" s="5"/>
      <c r="M447" s="5"/>
    </row>
    <row r="448">
      <c r="A448" s="2" t="s">
        <v>78</v>
      </c>
      <c r="B448" s="2">
        <v>7.0</v>
      </c>
      <c r="C448" s="4" t="str">
        <f t="shared" si="1"/>
        <v>tross</v>
      </c>
      <c r="D448" s="6" t="str">
        <f t="shared" si="20"/>
        <v>T33</v>
      </c>
      <c r="E448" s="5" t="s">
        <v>379</v>
      </c>
      <c r="F448" s="7" t="s">
        <v>14</v>
      </c>
      <c r="G448" s="2" t="str">
        <f>vlookup(D448,'mussel-ID_key'!A:B,2,false)</f>
        <v>tross-OW-3</v>
      </c>
      <c r="H448" s="8" t="str">
        <f t="shared" si="2"/>
        <v>tross-OW-3-foot</v>
      </c>
      <c r="I448" s="4">
        <f>vlookup(D448,'mussel-ID_key'!A:C,3,false)</f>
        <v>1</v>
      </c>
      <c r="J448" s="2" t="s">
        <v>78</v>
      </c>
      <c r="L448" s="5"/>
      <c r="M448" s="5"/>
    </row>
    <row r="449">
      <c r="A449" s="2" t="s">
        <v>78</v>
      </c>
      <c r="B449" s="2">
        <v>7.0</v>
      </c>
      <c r="C449" s="4" t="str">
        <f t="shared" si="1"/>
        <v>tross</v>
      </c>
      <c r="D449" s="6" t="str">
        <f t="shared" si="20"/>
        <v>T34</v>
      </c>
      <c r="E449" s="5" t="s">
        <v>382</v>
      </c>
      <c r="F449" s="7" t="s">
        <v>14</v>
      </c>
      <c r="G449" s="2" t="str">
        <f>vlookup(D449,'mussel-ID_key'!A:B,2,false)</f>
        <v>tross-OW-3</v>
      </c>
      <c r="H449" s="8" t="str">
        <f t="shared" si="2"/>
        <v>tross-OW-3-foot</v>
      </c>
      <c r="I449" s="4">
        <f>vlookup(D449,'mussel-ID_key'!A:C,3,false)</f>
        <v>1</v>
      </c>
      <c r="J449" s="2" t="s">
        <v>78</v>
      </c>
      <c r="L449" s="5"/>
      <c r="M449" s="5"/>
    </row>
    <row r="450">
      <c r="A450" s="2" t="s">
        <v>78</v>
      </c>
      <c r="B450" s="2">
        <v>7.0</v>
      </c>
      <c r="C450" s="4" t="str">
        <f t="shared" si="1"/>
        <v>tross</v>
      </c>
      <c r="D450" s="6" t="str">
        <f t="shared" si="20"/>
        <v>T35</v>
      </c>
      <c r="E450" s="5" t="s">
        <v>385</v>
      </c>
      <c r="F450" s="7" t="s">
        <v>14</v>
      </c>
      <c r="G450" s="2" t="str">
        <f>vlookup(D450,'mussel-ID_key'!A:B,2,false)</f>
        <v>tross-OW-3</v>
      </c>
      <c r="H450" s="8" t="str">
        <f t="shared" si="2"/>
        <v>tross-OW-3-foot</v>
      </c>
      <c r="I450" s="4">
        <f>vlookup(D450,'mussel-ID_key'!A:C,3,false)</f>
        <v>1</v>
      </c>
      <c r="J450" s="2" t="s">
        <v>78</v>
      </c>
      <c r="L450" s="5"/>
      <c r="M450" s="5"/>
    </row>
    <row r="451">
      <c r="A451" s="2" t="s">
        <v>78</v>
      </c>
      <c r="B451" s="2">
        <v>7.0</v>
      </c>
      <c r="C451" s="4" t="str">
        <f t="shared" si="1"/>
        <v>tross</v>
      </c>
      <c r="D451" s="6" t="str">
        <f t="shared" si="20"/>
        <v>T36</v>
      </c>
      <c r="E451" s="5" t="s">
        <v>388</v>
      </c>
      <c r="F451" s="7" t="s">
        <v>14</v>
      </c>
      <c r="G451" s="2" t="str">
        <f>vlookup(D451,'mussel-ID_key'!A:B,2,false)</f>
        <v>tross-OW-3</v>
      </c>
      <c r="H451" s="8" t="str">
        <f t="shared" si="2"/>
        <v>tross-OW-3-foot</v>
      </c>
      <c r="I451" s="4">
        <f>vlookup(D451,'mussel-ID_key'!A:C,3,false)</f>
        <v>1</v>
      </c>
      <c r="J451" s="2" t="s">
        <v>78</v>
      </c>
      <c r="L451" s="5"/>
      <c r="M451" s="5"/>
    </row>
    <row r="452">
      <c r="A452" s="2" t="s">
        <v>78</v>
      </c>
      <c r="B452" s="2">
        <v>7.0</v>
      </c>
      <c r="C452" s="4" t="str">
        <f t="shared" si="1"/>
        <v>tross</v>
      </c>
      <c r="D452" s="6" t="str">
        <f t="shared" si="20"/>
        <v>T37</v>
      </c>
      <c r="E452" s="5" t="s">
        <v>391</v>
      </c>
      <c r="F452" s="7" t="s">
        <v>14</v>
      </c>
      <c r="G452" s="2" t="str">
        <f>vlookup(D452,'mussel-ID_key'!A:B,2,false)</f>
        <v>tross-OW-3</v>
      </c>
      <c r="H452" s="8" t="str">
        <f t="shared" si="2"/>
        <v>tross-OW-3-foot</v>
      </c>
      <c r="I452" s="4">
        <f>vlookup(D452,'mussel-ID_key'!A:C,3,false)</f>
        <v>1</v>
      </c>
      <c r="J452" s="2" t="s">
        <v>78</v>
      </c>
      <c r="L452" s="5"/>
      <c r="M452" s="5"/>
    </row>
    <row r="453">
      <c r="A453" s="2" t="s">
        <v>78</v>
      </c>
      <c r="B453" s="2">
        <v>7.0</v>
      </c>
      <c r="C453" s="4" t="str">
        <f t="shared" si="1"/>
        <v>tross</v>
      </c>
      <c r="D453" s="6" t="str">
        <f t="shared" si="20"/>
        <v>T38</v>
      </c>
      <c r="E453" s="5" t="s">
        <v>394</v>
      </c>
      <c r="F453" s="7" t="s">
        <v>14</v>
      </c>
      <c r="G453" s="2" t="str">
        <f>vlookup(D453,'mussel-ID_key'!A:B,2,false)</f>
        <v>tross-OW-3</v>
      </c>
      <c r="H453" s="8" t="str">
        <f t="shared" si="2"/>
        <v>tross-OW-3-foot</v>
      </c>
      <c r="I453" s="4">
        <f>vlookup(D453,'mussel-ID_key'!A:C,3,false)</f>
        <v>1</v>
      </c>
      <c r="J453" s="2" t="s">
        <v>78</v>
      </c>
      <c r="L453" s="5"/>
      <c r="M453" s="5"/>
    </row>
    <row r="454">
      <c r="A454" s="2" t="s">
        <v>78</v>
      </c>
      <c r="B454" s="2">
        <v>7.0</v>
      </c>
      <c r="C454" s="4" t="str">
        <f t="shared" si="1"/>
        <v>tross</v>
      </c>
      <c r="D454" s="6" t="str">
        <f t="shared" si="20"/>
        <v>T39</v>
      </c>
      <c r="E454" s="5" t="s">
        <v>397</v>
      </c>
      <c r="F454" s="7" t="s">
        <v>14</v>
      </c>
      <c r="G454" s="2" t="str">
        <f>vlookup(D454,'mussel-ID_key'!A:B,2,false)</f>
        <v>tross-OW-3</v>
      </c>
      <c r="H454" s="8" t="str">
        <f t="shared" si="2"/>
        <v>tross-OW-3-foot</v>
      </c>
      <c r="I454" s="4">
        <f>vlookup(D454,'mussel-ID_key'!A:C,3,false)</f>
        <v>1</v>
      </c>
      <c r="J454" s="2" t="s">
        <v>78</v>
      </c>
      <c r="L454" s="5"/>
      <c r="M454" s="5"/>
    </row>
    <row r="455">
      <c r="A455" s="2" t="s">
        <v>78</v>
      </c>
      <c r="B455" s="2">
        <v>7.0</v>
      </c>
      <c r="C455" s="4" t="str">
        <f t="shared" si="1"/>
        <v>tross</v>
      </c>
      <c r="D455" s="5" t="str">
        <f t="shared" si="20"/>
        <v>T40</v>
      </c>
      <c r="E455" s="5" t="s">
        <v>400</v>
      </c>
      <c r="F455" s="7" t="s">
        <v>14</v>
      </c>
      <c r="G455" s="2" t="str">
        <f>vlookup(D455,'mussel-ID_key'!A:B,2,false)</f>
        <v>tross-OW-3</v>
      </c>
      <c r="H455" s="8" t="str">
        <f t="shared" si="2"/>
        <v>tross-OW-3-foot</v>
      </c>
      <c r="I455" s="4">
        <f>vlookup(D455,'mussel-ID_key'!A:C,3,false)</f>
        <v>1</v>
      </c>
      <c r="J455" s="2" t="s">
        <v>78</v>
      </c>
      <c r="L455" s="5"/>
      <c r="M455" s="5"/>
    </row>
    <row r="456">
      <c r="A456" s="2" t="s">
        <v>78</v>
      </c>
      <c r="B456" s="2">
        <v>7.0</v>
      </c>
      <c r="C456" s="4" t="str">
        <f t="shared" si="1"/>
        <v>tross</v>
      </c>
      <c r="D456" s="5" t="str">
        <f t="shared" si="20"/>
        <v>T41</v>
      </c>
      <c r="E456" s="5" t="s">
        <v>403</v>
      </c>
      <c r="F456" s="7" t="s">
        <v>14</v>
      </c>
      <c r="G456" s="2" t="str">
        <f>vlookup(D456,'mussel-ID_key'!A:B,2,false)</f>
        <v>tross-OW-3</v>
      </c>
      <c r="H456" s="8" t="str">
        <f t="shared" si="2"/>
        <v>tross-OW-3-foot</v>
      </c>
      <c r="I456" s="4">
        <f>vlookup(D456,'mussel-ID_key'!A:C,3,false)</f>
        <v>1</v>
      </c>
      <c r="J456" s="2" t="s">
        <v>78</v>
      </c>
      <c r="L456" s="5"/>
      <c r="M456" s="5"/>
    </row>
    <row r="457">
      <c r="A457" s="2" t="s">
        <v>78</v>
      </c>
      <c r="B457" s="2">
        <v>7.0</v>
      </c>
      <c r="C457" s="4" t="str">
        <f t="shared" si="1"/>
        <v>tross</v>
      </c>
      <c r="D457" s="5" t="str">
        <f t="shared" si="20"/>
        <v>T42</v>
      </c>
      <c r="E457" s="5" t="s">
        <v>673</v>
      </c>
      <c r="F457" s="7" t="s">
        <v>14</v>
      </c>
      <c r="G457" s="2" t="str">
        <f>vlookup(D457,'mussel-ID_key'!A:B,2,false)</f>
        <v>tross-OW-3</v>
      </c>
      <c r="H457" s="8" t="str">
        <f t="shared" si="2"/>
        <v>tross-OW-3-foot</v>
      </c>
      <c r="I457" s="4">
        <f>vlookup(D457,'mussel-ID_key'!A:C,3,false)</f>
        <v>1</v>
      </c>
      <c r="J457" s="2" t="s">
        <v>78</v>
      </c>
      <c r="L457" s="5"/>
      <c r="M457" s="5"/>
    </row>
    <row r="458">
      <c r="A458" s="2" t="s">
        <v>78</v>
      </c>
      <c r="B458" s="2">
        <v>7.0</v>
      </c>
      <c r="C458" s="4" t="str">
        <f t="shared" si="1"/>
        <v>tross</v>
      </c>
      <c r="D458" s="5" t="str">
        <f t="shared" si="20"/>
        <v>T89</v>
      </c>
      <c r="E458" s="5" t="s">
        <v>674</v>
      </c>
      <c r="F458" s="7" t="s">
        <v>14</v>
      </c>
      <c r="G458" s="2" t="str">
        <f>vlookup(D458,'mussel-ID_key'!A:B,2,false)</f>
        <v>tross-OW-3</v>
      </c>
      <c r="H458" s="8" t="str">
        <f t="shared" si="2"/>
        <v>tross-OW-3-foot</v>
      </c>
      <c r="I458" s="4">
        <f>vlookup(D458,'mussel-ID_key'!A:C,3,false)</f>
        <v>0</v>
      </c>
      <c r="J458" s="2" t="s">
        <v>78</v>
      </c>
      <c r="L458" s="5"/>
      <c r="M458" s="5"/>
    </row>
    <row r="459">
      <c r="A459" s="2" t="s">
        <v>78</v>
      </c>
      <c r="B459" s="2">
        <v>7.0</v>
      </c>
      <c r="C459" s="4" t="str">
        <f t="shared" si="1"/>
        <v>tross</v>
      </c>
      <c r="D459" s="5" t="str">
        <f t="shared" si="20"/>
        <v>T90</v>
      </c>
      <c r="E459" s="5" t="s">
        <v>675</v>
      </c>
      <c r="F459" s="7" t="s">
        <v>14</v>
      </c>
      <c r="G459" s="2" t="str">
        <f>vlookup(D459,'mussel-ID_key'!A:B,2,false)</f>
        <v>tross-OW-3</v>
      </c>
      <c r="H459" s="8" t="str">
        <f t="shared" si="2"/>
        <v>tross-OW-3-foot</v>
      </c>
      <c r="I459" s="4">
        <f>vlookup(D459,'mussel-ID_key'!A:C,3,false)</f>
        <v>0</v>
      </c>
      <c r="J459" s="2" t="s">
        <v>78</v>
      </c>
      <c r="L459" s="5"/>
      <c r="M459" s="5"/>
    </row>
    <row r="460">
      <c r="A460" s="2" t="s">
        <v>78</v>
      </c>
      <c r="B460" s="2">
        <v>7.0</v>
      </c>
      <c r="C460" s="4" t="str">
        <f t="shared" si="1"/>
        <v>tross</v>
      </c>
      <c r="D460" s="5" t="str">
        <f t="shared" si="20"/>
        <v>T91</v>
      </c>
      <c r="E460" s="5" t="s">
        <v>676</v>
      </c>
      <c r="F460" s="7" t="s">
        <v>14</v>
      </c>
      <c r="G460" s="2" t="str">
        <f>vlookup(D460,'mussel-ID_key'!A:B,2,false)</f>
        <v>tross-OW-3</v>
      </c>
      <c r="H460" s="8" t="str">
        <f t="shared" si="2"/>
        <v>tross-OW-3-foot</v>
      </c>
      <c r="I460" s="4">
        <f>vlookup(D460,'mussel-ID_key'!A:C,3,false)</f>
        <v>0</v>
      </c>
      <c r="J460" s="2" t="s">
        <v>78</v>
      </c>
      <c r="L460" s="5"/>
      <c r="M460" s="5"/>
    </row>
    <row r="461">
      <c r="A461" s="2" t="s">
        <v>78</v>
      </c>
      <c r="B461" s="2">
        <v>7.0</v>
      </c>
      <c r="C461" s="4" t="str">
        <f t="shared" si="1"/>
        <v>tross</v>
      </c>
      <c r="D461" s="5" t="str">
        <f t="shared" si="20"/>
        <v>T92</v>
      </c>
      <c r="E461" s="5" t="s">
        <v>677</v>
      </c>
      <c r="F461" s="7" t="s">
        <v>14</v>
      </c>
      <c r="G461" s="2" t="str">
        <f>vlookup(D461,'mussel-ID_key'!A:B,2,false)</f>
        <v>tross-OW-3</v>
      </c>
      <c r="H461" s="8" t="str">
        <f t="shared" si="2"/>
        <v>tross-OW-3-foot</v>
      </c>
      <c r="I461" s="4">
        <f>vlookup(D461,'mussel-ID_key'!A:C,3,false)</f>
        <v>0</v>
      </c>
      <c r="J461" s="2" t="s">
        <v>78</v>
      </c>
      <c r="L461" s="5"/>
      <c r="M461" s="5"/>
    </row>
    <row r="462">
      <c r="A462" s="2" t="s">
        <v>78</v>
      </c>
      <c r="B462" s="2">
        <v>7.0</v>
      </c>
      <c r="C462" s="4" t="str">
        <f t="shared" si="1"/>
        <v>tross</v>
      </c>
      <c r="D462" s="5" t="str">
        <f t="shared" si="20"/>
        <v>T93</v>
      </c>
      <c r="E462" s="5" t="s">
        <v>678</v>
      </c>
      <c r="F462" s="7" t="s">
        <v>14</v>
      </c>
      <c r="G462" s="2" t="str">
        <f>vlookup(D462,'mussel-ID_key'!A:B,2,false)</f>
        <v>tross-OW-3</v>
      </c>
      <c r="H462" s="8" t="str">
        <f t="shared" si="2"/>
        <v>tross-OW-3-foot</v>
      </c>
      <c r="I462" s="4">
        <f>vlookup(D462,'mussel-ID_key'!A:C,3,false)</f>
        <v>0</v>
      </c>
      <c r="J462" s="2" t="s">
        <v>78</v>
      </c>
      <c r="L462" s="5"/>
      <c r="M462" s="5"/>
    </row>
    <row r="463">
      <c r="A463" s="2" t="s">
        <v>83</v>
      </c>
      <c r="B463" s="2">
        <v>5.0</v>
      </c>
      <c r="C463" s="4" t="str">
        <f t="shared" si="1"/>
        <v>tross</v>
      </c>
      <c r="D463" s="5" t="str">
        <f t="shared" si="20"/>
        <v>T29</v>
      </c>
      <c r="E463" s="5" t="s">
        <v>371</v>
      </c>
      <c r="F463" s="2" t="s">
        <v>18</v>
      </c>
      <c r="G463" s="2" t="str">
        <f>vlookup(D463,'mussel-ID_key'!A:B,2,false)</f>
        <v>tross-OW-3</v>
      </c>
      <c r="H463" s="8" t="str">
        <f t="shared" si="2"/>
        <v>tross-OW-3-gill</v>
      </c>
      <c r="I463" s="4">
        <f>vlookup(D463,'mussel-ID_key'!A:C,3,false)</f>
        <v>1</v>
      </c>
      <c r="J463" s="2" t="s">
        <v>83</v>
      </c>
      <c r="L463" s="5"/>
      <c r="M463" s="5"/>
    </row>
    <row r="464">
      <c r="A464" s="2" t="s">
        <v>83</v>
      </c>
      <c r="B464" s="2">
        <v>5.0</v>
      </c>
      <c r="C464" s="4" t="str">
        <f t="shared" si="1"/>
        <v>tross</v>
      </c>
      <c r="D464" s="5" t="str">
        <f t="shared" si="20"/>
        <v>T30</v>
      </c>
      <c r="E464" s="5" t="s">
        <v>375</v>
      </c>
      <c r="F464" s="2" t="s">
        <v>18</v>
      </c>
      <c r="G464" s="2" t="str">
        <f>vlookup(D464,'mussel-ID_key'!A:B,2,false)</f>
        <v>tross-OW-3</v>
      </c>
      <c r="H464" s="8" t="str">
        <f t="shared" si="2"/>
        <v>tross-OW-3-gill</v>
      </c>
      <c r="I464" s="4">
        <f>vlookup(D464,'mussel-ID_key'!A:C,3,false)</f>
        <v>1</v>
      </c>
      <c r="J464" s="2" t="s">
        <v>83</v>
      </c>
      <c r="L464" s="5"/>
      <c r="M464" s="5"/>
    </row>
    <row r="465">
      <c r="A465" s="2" t="s">
        <v>83</v>
      </c>
      <c r="B465" s="2">
        <v>5.0</v>
      </c>
      <c r="C465" s="4" t="str">
        <f t="shared" si="1"/>
        <v>tross</v>
      </c>
      <c r="D465" s="5" t="str">
        <f t="shared" si="20"/>
        <v>T31</v>
      </c>
      <c r="E465" s="5" t="s">
        <v>378</v>
      </c>
      <c r="F465" s="2" t="s">
        <v>18</v>
      </c>
      <c r="G465" s="2" t="str">
        <f>vlookup(D465,'mussel-ID_key'!A:B,2,false)</f>
        <v>tross-OW-3</v>
      </c>
      <c r="H465" s="8" t="str">
        <f t="shared" si="2"/>
        <v>tross-OW-3-gill</v>
      </c>
      <c r="I465" s="4">
        <f>vlookup(D465,'mussel-ID_key'!A:C,3,false)</f>
        <v>1</v>
      </c>
      <c r="J465" s="2" t="s">
        <v>83</v>
      </c>
      <c r="L465" s="5"/>
      <c r="M465" s="5"/>
    </row>
    <row r="466">
      <c r="A466" s="2" t="s">
        <v>83</v>
      </c>
      <c r="B466" s="2">
        <v>5.0</v>
      </c>
      <c r="C466" s="4" t="str">
        <f t="shared" si="1"/>
        <v>tross</v>
      </c>
      <c r="D466" s="5" t="str">
        <f t="shared" si="20"/>
        <v>T33</v>
      </c>
      <c r="E466" s="5" t="s">
        <v>381</v>
      </c>
      <c r="F466" s="2" t="s">
        <v>18</v>
      </c>
      <c r="G466" s="2" t="str">
        <f>vlookup(D466,'mussel-ID_key'!A:B,2,false)</f>
        <v>tross-OW-3</v>
      </c>
      <c r="H466" s="8" t="str">
        <f t="shared" si="2"/>
        <v>tross-OW-3-gill</v>
      </c>
      <c r="I466" s="4">
        <f>vlookup(D466,'mussel-ID_key'!A:C,3,false)</f>
        <v>1</v>
      </c>
      <c r="J466" s="2" t="s">
        <v>83</v>
      </c>
      <c r="L466" s="5"/>
      <c r="M466" s="5"/>
    </row>
    <row r="467">
      <c r="A467" s="2" t="s">
        <v>83</v>
      </c>
      <c r="B467" s="2">
        <v>5.0</v>
      </c>
      <c r="C467" s="4" t="str">
        <f t="shared" si="1"/>
        <v>tross</v>
      </c>
      <c r="D467" s="5" t="str">
        <f t="shared" si="20"/>
        <v>T34</v>
      </c>
      <c r="E467" s="5" t="s">
        <v>384</v>
      </c>
      <c r="F467" s="2" t="s">
        <v>18</v>
      </c>
      <c r="G467" s="2" t="str">
        <f>vlookup(D467,'mussel-ID_key'!A:B,2,false)</f>
        <v>tross-OW-3</v>
      </c>
      <c r="H467" s="8" t="str">
        <f t="shared" si="2"/>
        <v>tross-OW-3-gill</v>
      </c>
      <c r="I467" s="4">
        <f>vlookup(D467,'mussel-ID_key'!A:C,3,false)</f>
        <v>1</v>
      </c>
      <c r="J467" s="2" t="s">
        <v>83</v>
      </c>
      <c r="L467" s="5"/>
      <c r="M467" s="5"/>
    </row>
    <row r="468">
      <c r="A468" s="2" t="s">
        <v>83</v>
      </c>
      <c r="B468" s="2">
        <v>5.0</v>
      </c>
      <c r="C468" s="4" t="str">
        <f t="shared" si="1"/>
        <v>tross</v>
      </c>
      <c r="D468" s="5" t="str">
        <f t="shared" si="20"/>
        <v>T35</v>
      </c>
      <c r="E468" s="5" t="s">
        <v>387</v>
      </c>
      <c r="F468" s="2" t="s">
        <v>18</v>
      </c>
      <c r="G468" s="2" t="str">
        <f>vlookup(D468,'mussel-ID_key'!A:B,2,false)</f>
        <v>tross-OW-3</v>
      </c>
      <c r="H468" s="8" t="str">
        <f t="shared" si="2"/>
        <v>tross-OW-3-gill</v>
      </c>
      <c r="I468" s="4">
        <f>vlookup(D468,'mussel-ID_key'!A:C,3,false)</f>
        <v>1</v>
      </c>
      <c r="J468" s="2" t="s">
        <v>83</v>
      </c>
      <c r="L468" s="5"/>
      <c r="M468" s="5"/>
    </row>
    <row r="469">
      <c r="A469" s="2" t="s">
        <v>83</v>
      </c>
      <c r="B469" s="2">
        <v>5.0</v>
      </c>
      <c r="C469" s="4" t="str">
        <f t="shared" si="1"/>
        <v>tross</v>
      </c>
      <c r="D469" s="5" t="str">
        <f t="shared" si="20"/>
        <v>T36</v>
      </c>
      <c r="E469" s="5" t="s">
        <v>390</v>
      </c>
      <c r="F469" s="2" t="s">
        <v>18</v>
      </c>
      <c r="G469" s="2" t="str">
        <f>vlookup(D469,'mussel-ID_key'!A:B,2,false)</f>
        <v>tross-OW-3</v>
      </c>
      <c r="H469" s="8" t="str">
        <f t="shared" si="2"/>
        <v>tross-OW-3-gill</v>
      </c>
      <c r="I469" s="4">
        <f>vlookup(D469,'mussel-ID_key'!A:C,3,false)</f>
        <v>1</v>
      </c>
      <c r="J469" s="2" t="s">
        <v>83</v>
      </c>
      <c r="L469" s="5"/>
      <c r="M469" s="5"/>
    </row>
    <row r="470">
      <c r="A470" s="2" t="s">
        <v>83</v>
      </c>
      <c r="B470" s="2">
        <v>5.0</v>
      </c>
      <c r="C470" s="4" t="str">
        <f t="shared" si="1"/>
        <v>tross</v>
      </c>
      <c r="D470" s="5" t="str">
        <f t="shared" si="20"/>
        <v>T37</v>
      </c>
      <c r="E470" s="5" t="s">
        <v>393</v>
      </c>
      <c r="F470" s="2" t="s">
        <v>18</v>
      </c>
      <c r="G470" s="2" t="str">
        <f>vlookup(D470,'mussel-ID_key'!A:B,2,false)</f>
        <v>tross-OW-3</v>
      </c>
      <c r="H470" s="8" t="str">
        <f t="shared" si="2"/>
        <v>tross-OW-3-gill</v>
      </c>
      <c r="I470" s="4">
        <f>vlookup(D470,'mussel-ID_key'!A:C,3,false)</f>
        <v>1</v>
      </c>
      <c r="J470" s="2" t="s">
        <v>83</v>
      </c>
      <c r="L470" s="5"/>
      <c r="M470" s="5"/>
    </row>
    <row r="471">
      <c r="A471" s="2" t="s">
        <v>83</v>
      </c>
      <c r="B471" s="2">
        <v>5.0</v>
      </c>
      <c r="C471" s="4" t="str">
        <f t="shared" si="1"/>
        <v>tross</v>
      </c>
      <c r="D471" s="5" t="str">
        <f t="shared" si="20"/>
        <v>T38</v>
      </c>
      <c r="E471" s="5" t="s">
        <v>396</v>
      </c>
      <c r="F471" s="2" t="s">
        <v>18</v>
      </c>
      <c r="G471" s="2" t="str">
        <f>vlookup(D471,'mussel-ID_key'!A:B,2,false)</f>
        <v>tross-OW-3</v>
      </c>
      <c r="H471" s="8" t="str">
        <f t="shared" si="2"/>
        <v>tross-OW-3-gill</v>
      </c>
      <c r="I471" s="4">
        <f>vlookup(D471,'mussel-ID_key'!A:C,3,false)</f>
        <v>1</v>
      </c>
      <c r="J471" s="2" t="s">
        <v>83</v>
      </c>
      <c r="L471" s="5"/>
      <c r="M471" s="5"/>
    </row>
    <row r="472">
      <c r="A472" s="2" t="s">
        <v>83</v>
      </c>
      <c r="B472" s="2">
        <v>5.0</v>
      </c>
      <c r="C472" s="4" t="str">
        <f t="shared" si="1"/>
        <v>tross</v>
      </c>
      <c r="D472" s="5" t="str">
        <f t="shared" si="20"/>
        <v>T39</v>
      </c>
      <c r="E472" s="5" t="s">
        <v>399</v>
      </c>
      <c r="F472" s="2" t="s">
        <v>18</v>
      </c>
      <c r="G472" s="2" t="str">
        <f>vlookup(D472,'mussel-ID_key'!A:B,2,false)</f>
        <v>tross-OW-3</v>
      </c>
      <c r="H472" s="8" t="str">
        <f t="shared" si="2"/>
        <v>tross-OW-3-gill</v>
      </c>
      <c r="I472" s="4">
        <f>vlookup(D472,'mussel-ID_key'!A:C,3,false)</f>
        <v>1</v>
      </c>
      <c r="J472" s="2" t="s">
        <v>83</v>
      </c>
      <c r="L472" s="5"/>
      <c r="M472" s="5"/>
    </row>
    <row r="473">
      <c r="A473" s="2" t="s">
        <v>83</v>
      </c>
      <c r="B473" s="2">
        <v>5.0</v>
      </c>
      <c r="C473" s="4" t="str">
        <f t="shared" si="1"/>
        <v>tross</v>
      </c>
      <c r="D473" s="5" t="str">
        <f t="shared" si="20"/>
        <v>T40</v>
      </c>
      <c r="E473" s="5" t="s">
        <v>402</v>
      </c>
      <c r="F473" s="2" t="s">
        <v>18</v>
      </c>
      <c r="G473" s="2" t="str">
        <f>vlookup(D473,'mussel-ID_key'!A:B,2,false)</f>
        <v>tross-OW-3</v>
      </c>
      <c r="H473" s="8" t="str">
        <f t="shared" si="2"/>
        <v>tross-OW-3-gill</v>
      </c>
      <c r="I473" s="4">
        <f>vlookup(D473,'mussel-ID_key'!A:C,3,false)</f>
        <v>1</v>
      </c>
      <c r="J473" s="2" t="s">
        <v>83</v>
      </c>
      <c r="L473" s="5"/>
      <c r="M473" s="5"/>
    </row>
    <row r="474">
      <c r="A474" s="2" t="s">
        <v>83</v>
      </c>
      <c r="B474" s="2">
        <v>5.0</v>
      </c>
      <c r="C474" s="4" t="str">
        <f t="shared" si="1"/>
        <v>tross</v>
      </c>
      <c r="D474" s="5" t="str">
        <f t="shared" si="20"/>
        <v>T41</v>
      </c>
      <c r="E474" s="5" t="s">
        <v>405</v>
      </c>
      <c r="F474" s="2" t="s">
        <v>18</v>
      </c>
      <c r="G474" s="2" t="str">
        <f>vlookup(D474,'mussel-ID_key'!A:B,2,false)</f>
        <v>tross-OW-3</v>
      </c>
      <c r="H474" s="8" t="str">
        <f t="shared" si="2"/>
        <v>tross-OW-3-gill</v>
      </c>
      <c r="I474" s="4">
        <f>vlookup(D474,'mussel-ID_key'!A:C,3,false)</f>
        <v>1</v>
      </c>
      <c r="J474" s="2" t="s">
        <v>83</v>
      </c>
      <c r="L474" s="5"/>
      <c r="M474" s="5"/>
    </row>
    <row r="475">
      <c r="A475" s="2" t="s">
        <v>83</v>
      </c>
      <c r="B475" s="2">
        <v>5.0</v>
      </c>
      <c r="C475" s="4" t="str">
        <f t="shared" si="1"/>
        <v>tross</v>
      </c>
      <c r="D475" s="5" t="str">
        <f t="shared" si="20"/>
        <v>T42</v>
      </c>
      <c r="E475" s="5" t="s">
        <v>679</v>
      </c>
      <c r="F475" s="2" t="s">
        <v>18</v>
      </c>
      <c r="G475" s="2" t="str">
        <f>vlookup(D475,'mussel-ID_key'!A:B,2,false)</f>
        <v>tross-OW-3</v>
      </c>
      <c r="H475" s="8" t="str">
        <f t="shared" si="2"/>
        <v>tross-OW-3-gill</v>
      </c>
      <c r="I475" s="4">
        <f>vlookup(D475,'mussel-ID_key'!A:C,3,false)</f>
        <v>1</v>
      </c>
      <c r="J475" s="2" t="s">
        <v>83</v>
      </c>
      <c r="L475" s="5"/>
      <c r="M475" s="5"/>
    </row>
    <row r="476">
      <c r="A476" s="2" t="s">
        <v>83</v>
      </c>
      <c r="B476" s="2">
        <v>5.0</v>
      </c>
      <c r="C476" s="4" t="str">
        <f t="shared" si="1"/>
        <v>tross</v>
      </c>
      <c r="D476" s="5" t="str">
        <f t="shared" si="20"/>
        <v>T89</v>
      </c>
      <c r="E476" s="5" t="s">
        <v>680</v>
      </c>
      <c r="F476" s="2" t="s">
        <v>18</v>
      </c>
      <c r="G476" s="2" t="str">
        <f>vlookup(D476,'mussel-ID_key'!A:B,2,false)</f>
        <v>tross-OW-3</v>
      </c>
      <c r="H476" s="8" t="str">
        <f t="shared" si="2"/>
        <v>tross-OW-3-gill</v>
      </c>
      <c r="I476" s="4">
        <f>vlookup(D476,'mussel-ID_key'!A:C,3,false)</f>
        <v>0</v>
      </c>
      <c r="J476" s="2" t="s">
        <v>83</v>
      </c>
      <c r="L476" s="5"/>
      <c r="M476" s="5"/>
    </row>
    <row r="477">
      <c r="A477" s="2" t="s">
        <v>83</v>
      </c>
      <c r="B477" s="2">
        <v>5.0</v>
      </c>
      <c r="C477" s="4" t="str">
        <f t="shared" si="1"/>
        <v>tross</v>
      </c>
      <c r="D477" s="5" t="str">
        <f t="shared" si="20"/>
        <v>T90</v>
      </c>
      <c r="E477" s="5" t="s">
        <v>681</v>
      </c>
      <c r="F477" s="2" t="s">
        <v>18</v>
      </c>
      <c r="G477" s="2" t="str">
        <f>vlookup(D477,'mussel-ID_key'!A:B,2,false)</f>
        <v>tross-OW-3</v>
      </c>
      <c r="H477" s="8" t="str">
        <f t="shared" si="2"/>
        <v>tross-OW-3-gill</v>
      </c>
      <c r="I477" s="4">
        <f>vlookup(D477,'mussel-ID_key'!A:C,3,false)</f>
        <v>0</v>
      </c>
      <c r="J477" s="2" t="s">
        <v>83</v>
      </c>
      <c r="L477" s="5"/>
      <c r="M477" s="5"/>
    </row>
    <row r="478">
      <c r="A478" s="2" t="s">
        <v>83</v>
      </c>
      <c r="B478" s="2">
        <v>5.0</v>
      </c>
      <c r="C478" s="4" t="str">
        <f t="shared" si="1"/>
        <v>tross</v>
      </c>
      <c r="D478" s="5" t="str">
        <f t="shared" si="20"/>
        <v>T91</v>
      </c>
      <c r="E478" s="5" t="s">
        <v>682</v>
      </c>
      <c r="F478" s="2" t="s">
        <v>18</v>
      </c>
      <c r="G478" s="2" t="str">
        <f>vlookup(D478,'mussel-ID_key'!A:B,2,false)</f>
        <v>tross-OW-3</v>
      </c>
      <c r="H478" s="8" t="str">
        <f t="shared" si="2"/>
        <v>tross-OW-3-gill</v>
      </c>
      <c r="I478" s="4">
        <f>vlookup(D478,'mussel-ID_key'!A:C,3,false)</f>
        <v>0</v>
      </c>
      <c r="J478" s="2" t="s">
        <v>83</v>
      </c>
      <c r="L478" s="5"/>
      <c r="M478" s="5"/>
    </row>
    <row r="479">
      <c r="A479" s="2" t="s">
        <v>83</v>
      </c>
      <c r="B479" s="2">
        <v>5.0</v>
      </c>
      <c r="C479" s="4" t="str">
        <f t="shared" si="1"/>
        <v>tross</v>
      </c>
      <c r="D479" s="5" t="str">
        <f t="shared" si="20"/>
        <v>T92</v>
      </c>
      <c r="E479" s="5" t="s">
        <v>683</v>
      </c>
      <c r="F479" s="2" t="s">
        <v>18</v>
      </c>
      <c r="G479" s="2" t="str">
        <f>vlookup(D479,'mussel-ID_key'!A:B,2,false)</f>
        <v>tross-OW-3</v>
      </c>
      <c r="H479" s="8" t="str">
        <f t="shared" si="2"/>
        <v>tross-OW-3-gill</v>
      </c>
      <c r="I479" s="4">
        <f>vlookup(D479,'mussel-ID_key'!A:C,3,false)</f>
        <v>0</v>
      </c>
      <c r="J479" s="2" t="s">
        <v>83</v>
      </c>
      <c r="L479" s="5"/>
      <c r="M479" s="5"/>
    </row>
    <row r="480">
      <c r="A480" s="2" t="s">
        <v>83</v>
      </c>
      <c r="B480" s="2">
        <v>5.0</v>
      </c>
      <c r="C480" s="4" t="str">
        <f t="shared" si="1"/>
        <v>tross</v>
      </c>
      <c r="D480" s="5" t="str">
        <f t="shared" si="20"/>
        <v>T93</v>
      </c>
      <c r="E480" s="5" t="s">
        <v>684</v>
      </c>
      <c r="F480" s="2" t="s">
        <v>18</v>
      </c>
      <c r="G480" s="2" t="str">
        <f>vlookup(D480,'mussel-ID_key'!A:B,2,false)</f>
        <v>tross-OW-3</v>
      </c>
      <c r="H480" s="8" t="str">
        <f t="shared" si="2"/>
        <v>tross-OW-3-gill</v>
      </c>
      <c r="I480" s="4">
        <f>vlookup(D480,'mussel-ID_key'!A:C,3,false)</f>
        <v>0</v>
      </c>
      <c r="J480" s="2" t="s">
        <v>83</v>
      </c>
      <c r="L480" s="5"/>
      <c r="M480" s="5"/>
    </row>
    <row r="481">
      <c r="A481" s="2" t="s">
        <v>450</v>
      </c>
      <c r="B481" s="2">
        <v>6.0</v>
      </c>
      <c r="C481" s="4" t="str">
        <f t="shared" si="1"/>
        <v>tross</v>
      </c>
      <c r="D481" s="5" t="str">
        <f t="shared" si="20"/>
        <v>T29</v>
      </c>
      <c r="E481" s="5" t="s">
        <v>685</v>
      </c>
      <c r="F481" s="2" t="s">
        <v>438</v>
      </c>
      <c r="G481" s="2" t="str">
        <f>vlookup(D481,'mussel-ID_key'!A:B,2,false)</f>
        <v>tross-OW-3</v>
      </c>
      <c r="H481" s="8" t="str">
        <f t="shared" si="2"/>
        <v>tross-OW-3-mantle</v>
      </c>
      <c r="I481" s="4">
        <f>vlookup(D481,'mussel-ID_key'!A:C,3,false)</f>
        <v>1</v>
      </c>
      <c r="J481" s="2" t="s">
        <v>450</v>
      </c>
      <c r="L481" s="5"/>
      <c r="M481" s="5"/>
    </row>
    <row r="482">
      <c r="A482" s="2" t="s">
        <v>450</v>
      </c>
      <c r="B482" s="2">
        <v>6.0</v>
      </c>
      <c r="C482" s="4" t="str">
        <f t="shared" si="1"/>
        <v>tross</v>
      </c>
      <c r="D482" s="5" t="str">
        <f t="shared" si="20"/>
        <v>T30</v>
      </c>
      <c r="E482" s="5" t="s">
        <v>686</v>
      </c>
      <c r="F482" s="2" t="s">
        <v>438</v>
      </c>
      <c r="G482" s="2" t="str">
        <f>vlookup(D482,'mussel-ID_key'!A:B,2,false)</f>
        <v>tross-OW-3</v>
      </c>
      <c r="H482" s="8" t="str">
        <f t="shared" si="2"/>
        <v>tross-OW-3-mantle</v>
      </c>
      <c r="I482" s="4">
        <f>vlookup(D482,'mussel-ID_key'!A:C,3,false)</f>
        <v>1</v>
      </c>
      <c r="J482" s="2" t="s">
        <v>450</v>
      </c>
      <c r="L482" s="5"/>
      <c r="M482" s="5"/>
    </row>
    <row r="483">
      <c r="A483" s="2" t="s">
        <v>450</v>
      </c>
      <c r="B483" s="2">
        <v>6.0</v>
      </c>
      <c r="C483" s="4" t="str">
        <f t="shared" si="1"/>
        <v>tross</v>
      </c>
      <c r="D483" s="5" t="str">
        <f t="shared" si="20"/>
        <v>T31</v>
      </c>
      <c r="E483" s="5" t="s">
        <v>687</v>
      </c>
      <c r="F483" s="2" t="s">
        <v>438</v>
      </c>
      <c r="G483" s="2" t="str">
        <f>vlookup(D483,'mussel-ID_key'!A:B,2,false)</f>
        <v>tross-OW-3</v>
      </c>
      <c r="H483" s="8" t="str">
        <f t="shared" si="2"/>
        <v>tross-OW-3-mantle</v>
      </c>
      <c r="I483" s="4">
        <f>vlookup(D483,'mussel-ID_key'!A:C,3,false)</f>
        <v>1</v>
      </c>
      <c r="J483" s="2" t="s">
        <v>450</v>
      </c>
      <c r="L483" s="5"/>
      <c r="M483" s="5"/>
    </row>
    <row r="484">
      <c r="A484" s="2" t="s">
        <v>450</v>
      </c>
      <c r="B484" s="2">
        <v>6.0</v>
      </c>
      <c r="C484" s="4" t="str">
        <f t="shared" si="1"/>
        <v>tross</v>
      </c>
      <c r="D484" s="5" t="str">
        <f t="shared" si="20"/>
        <v>T33</v>
      </c>
      <c r="E484" s="5" t="s">
        <v>688</v>
      </c>
      <c r="F484" s="2" t="s">
        <v>438</v>
      </c>
      <c r="G484" s="2" t="str">
        <f>vlookup(D484,'mussel-ID_key'!A:B,2,false)</f>
        <v>tross-OW-3</v>
      </c>
      <c r="H484" s="8" t="str">
        <f t="shared" si="2"/>
        <v>tross-OW-3-mantle</v>
      </c>
      <c r="I484" s="4">
        <f>vlookup(D484,'mussel-ID_key'!A:C,3,false)</f>
        <v>1</v>
      </c>
      <c r="J484" s="2" t="s">
        <v>450</v>
      </c>
      <c r="L484" s="5"/>
      <c r="M484" s="5"/>
    </row>
    <row r="485">
      <c r="A485" s="2" t="s">
        <v>450</v>
      </c>
      <c r="B485" s="2">
        <v>6.0</v>
      </c>
      <c r="C485" s="4" t="str">
        <f t="shared" si="1"/>
        <v>tross</v>
      </c>
      <c r="D485" s="5" t="str">
        <f t="shared" si="20"/>
        <v>T34</v>
      </c>
      <c r="E485" s="5" t="s">
        <v>689</v>
      </c>
      <c r="F485" s="2" t="s">
        <v>438</v>
      </c>
      <c r="G485" s="2" t="str">
        <f>vlookup(D485,'mussel-ID_key'!A:B,2,false)</f>
        <v>tross-OW-3</v>
      </c>
      <c r="H485" s="8" t="str">
        <f t="shared" si="2"/>
        <v>tross-OW-3-mantle</v>
      </c>
      <c r="I485" s="4">
        <f>vlookup(D485,'mussel-ID_key'!A:C,3,false)</f>
        <v>1</v>
      </c>
      <c r="J485" s="2" t="s">
        <v>450</v>
      </c>
      <c r="L485" s="5"/>
      <c r="M485" s="5"/>
    </row>
    <row r="486">
      <c r="A486" s="2" t="s">
        <v>450</v>
      </c>
      <c r="B486" s="2">
        <v>6.0</v>
      </c>
      <c r="C486" s="4" t="str">
        <f t="shared" si="1"/>
        <v>tross</v>
      </c>
      <c r="D486" s="5" t="str">
        <f t="shared" si="20"/>
        <v>T35</v>
      </c>
      <c r="E486" s="5" t="s">
        <v>690</v>
      </c>
      <c r="F486" s="2" t="s">
        <v>438</v>
      </c>
      <c r="G486" s="2" t="str">
        <f>vlookup(D486,'mussel-ID_key'!A:B,2,false)</f>
        <v>tross-OW-3</v>
      </c>
      <c r="H486" s="8" t="str">
        <f t="shared" si="2"/>
        <v>tross-OW-3-mantle</v>
      </c>
      <c r="I486" s="4">
        <f>vlookup(D486,'mussel-ID_key'!A:C,3,false)</f>
        <v>1</v>
      </c>
      <c r="J486" s="2" t="s">
        <v>450</v>
      </c>
      <c r="L486" s="5"/>
      <c r="M486" s="5"/>
    </row>
    <row r="487">
      <c r="A487" s="2" t="s">
        <v>450</v>
      </c>
      <c r="B487" s="2">
        <v>6.0</v>
      </c>
      <c r="C487" s="4" t="str">
        <f t="shared" si="1"/>
        <v>tross</v>
      </c>
      <c r="D487" s="5" t="str">
        <f t="shared" si="20"/>
        <v>T36</v>
      </c>
      <c r="E487" s="5" t="s">
        <v>691</v>
      </c>
      <c r="F487" s="2" t="s">
        <v>438</v>
      </c>
      <c r="G487" s="2" t="str">
        <f>vlookup(D487,'mussel-ID_key'!A:B,2,false)</f>
        <v>tross-OW-3</v>
      </c>
      <c r="H487" s="8" t="str">
        <f t="shared" si="2"/>
        <v>tross-OW-3-mantle</v>
      </c>
      <c r="I487" s="4">
        <f>vlookup(D487,'mussel-ID_key'!A:C,3,false)</f>
        <v>1</v>
      </c>
      <c r="J487" s="2" t="s">
        <v>450</v>
      </c>
      <c r="L487" s="5"/>
      <c r="M487" s="5"/>
    </row>
    <row r="488">
      <c r="A488" s="2" t="s">
        <v>450</v>
      </c>
      <c r="B488" s="2">
        <v>6.0</v>
      </c>
      <c r="C488" s="4" t="str">
        <f t="shared" si="1"/>
        <v>tross</v>
      </c>
      <c r="D488" s="5" t="str">
        <f t="shared" si="20"/>
        <v>T37</v>
      </c>
      <c r="E488" s="5" t="s">
        <v>692</v>
      </c>
      <c r="F488" s="2" t="s">
        <v>438</v>
      </c>
      <c r="G488" s="2" t="str">
        <f>vlookup(D488,'mussel-ID_key'!A:B,2,false)</f>
        <v>tross-OW-3</v>
      </c>
      <c r="H488" s="8" t="str">
        <f t="shared" si="2"/>
        <v>tross-OW-3-mantle</v>
      </c>
      <c r="I488" s="4">
        <f>vlookup(D488,'mussel-ID_key'!A:C,3,false)</f>
        <v>1</v>
      </c>
      <c r="J488" s="2" t="s">
        <v>450</v>
      </c>
      <c r="L488" s="5"/>
      <c r="M488" s="5"/>
    </row>
    <row r="489">
      <c r="A489" s="2" t="s">
        <v>450</v>
      </c>
      <c r="B489" s="2">
        <v>6.0</v>
      </c>
      <c r="C489" s="4" t="str">
        <f t="shared" si="1"/>
        <v>tross</v>
      </c>
      <c r="D489" s="5" t="str">
        <f t="shared" si="20"/>
        <v>T38</v>
      </c>
      <c r="E489" s="5" t="s">
        <v>693</v>
      </c>
      <c r="F489" s="2" t="s">
        <v>438</v>
      </c>
      <c r="G489" s="2" t="str">
        <f>vlookup(D489,'mussel-ID_key'!A:B,2,false)</f>
        <v>tross-OW-3</v>
      </c>
      <c r="H489" s="8" t="str">
        <f t="shared" si="2"/>
        <v>tross-OW-3-mantle</v>
      </c>
      <c r="I489" s="4">
        <f>vlookup(D489,'mussel-ID_key'!A:C,3,false)</f>
        <v>1</v>
      </c>
      <c r="J489" s="2" t="s">
        <v>450</v>
      </c>
      <c r="L489" s="5"/>
      <c r="M489" s="5"/>
    </row>
    <row r="490">
      <c r="A490" s="2" t="s">
        <v>450</v>
      </c>
      <c r="B490" s="2">
        <v>6.0</v>
      </c>
      <c r="C490" s="4" t="str">
        <f t="shared" si="1"/>
        <v>tross</v>
      </c>
      <c r="D490" s="5" t="str">
        <f t="shared" si="20"/>
        <v>T39</v>
      </c>
      <c r="E490" s="5" t="s">
        <v>694</v>
      </c>
      <c r="F490" s="2" t="s">
        <v>438</v>
      </c>
      <c r="G490" s="2" t="str">
        <f>vlookup(D490,'mussel-ID_key'!A:B,2,false)</f>
        <v>tross-OW-3</v>
      </c>
      <c r="H490" s="8" t="str">
        <f t="shared" si="2"/>
        <v>tross-OW-3-mantle</v>
      </c>
      <c r="I490" s="4">
        <f>vlookup(D490,'mussel-ID_key'!A:C,3,false)</f>
        <v>1</v>
      </c>
      <c r="J490" s="2" t="s">
        <v>450</v>
      </c>
      <c r="L490" s="5"/>
      <c r="M490" s="5"/>
    </row>
    <row r="491">
      <c r="A491" s="2" t="s">
        <v>450</v>
      </c>
      <c r="B491" s="2">
        <v>6.0</v>
      </c>
      <c r="C491" s="4" t="str">
        <f t="shared" si="1"/>
        <v>tross</v>
      </c>
      <c r="D491" s="5" t="str">
        <f t="shared" si="20"/>
        <v>T40</v>
      </c>
      <c r="E491" s="5" t="s">
        <v>695</v>
      </c>
      <c r="F491" s="2" t="s">
        <v>438</v>
      </c>
      <c r="G491" s="2" t="str">
        <f>vlookup(D491,'mussel-ID_key'!A:B,2,false)</f>
        <v>tross-OW-3</v>
      </c>
      <c r="H491" s="8" t="str">
        <f t="shared" si="2"/>
        <v>tross-OW-3-mantle</v>
      </c>
      <c r="I491" s="4">
        <f>vlookup(D491,'mussel-ID_key'!A:C,3,false)</f>
        <v>1</v>
      </c>
      <c r="J491" s="2" t="s">
        <v>450</v>
      </c>
      <c r="L491" s="5"/>
      <c r="M491" s="5"/>
    </row>
    <row r="492">
      <c r="A492" s="2" t="s">
        <v>450</v>
      </c>
      <c r="B492" s="2">
        <v>6.0</v>
      </c>
      <c r="C492" s="4" t="str">
        <f t="shared" si="1"/>
        <v>tross</v>
      </c>
      <c r="D492" s="5" t="str">
        <f t="shared" si="20"/>
        <v>T41</v>
      </c>
      <c r="E492" s="5" t="s">
        <v>696</v>
      </c>
      <c r="F492" s="2" t="s">
        <v>438</v>
      </c>
      <c r="G492" s="2" t="str">
        <f>vlookup(D492,'mussel-ID_key'!A:B,2,false)</f>
        <v>tross-OW-3</v>
      </c>
      <c r="H492" s="8" t="str">
        <f t="shared" si="2"/>
        <v>tross-OW-3-mantle</v>
      </c>
      <c r="I492" s="4">
        <f>vlookup(D492,'mussel-ID_key'!A:C,3,false)</f>
        <v>1</v>
      </c>
      <c r="J492" s="2" t="s">
        <v>450</v>
      </c>
      <c r="L492" s="5"/>
      <c r="M492" s="5"/>
    </row>
    <row r="493">
      <c r="A493" s="2" t="s">
        <v>450</v>
      </c>
      <c r="B493" s="2">
        <v>6.0</v>
      </c>
      <c r="C493" s="4" t="str">
        <f t="shared" si="1"/>
        <v>tross</v>
      </c>
      <c r="D493" s="5" t="str">
        <f t="shared" si="20"/>
        <v>T42</v>
      </c>
      <c r="E493" s="5" t="s">
        <v>697</v>
      </c>
      <c r="F493" s="2" t="s">
        <v>438</v>
      </c>
      <c r="G493" s="2" t="str">
        <f>vlookup(D493,'mussel-ID_key'!A:B,2,false)</f>
        <v>tross-OW-3</v>
      </c>
      <c r="H493" s="8" t="str">
        <f t="shared" si="2"/>
        <v>tross-OW-3-mantle</v>
      </c>
      <c r="I493" s="4">
        <f>vlookup(D493,'mussel-ID_key'!A:C,3,false)</f>
        <v>1</v>
      </c>
      <c r="J493" s="2" t="s">
        <v>450</v>
      </c>
      <c r="L493" s="5"/>
      <c r="M493" s="5"/>
    </row>
    <row r="494">
      <c r="A494" s="2" t="s">
        <v>450</v>
      </c>
      <c r="B494" s="2">
        <v>6.0</v>
      </c>
      <c r="C494" s="4" t="str">
        <f t="shared" si="1"/>
        <v>tross</v>
      </c>
      <c r="D494" s="5" t="str">
        <f t="shared" si="20"/>
        <v>T89</v>
      </c>
      <c r="E494" s="5" t="s">
        <v>698</v>
      </c>
      <c r="F494" s="2" t="s">
        <v>438</v>
      </c>
      <c r="G494" s="2" t="str">
        <f>vlookup(D494,'mussel-ID_key'!A:B,2,false)</f>
        <v>tross-OW-3</v>
      </c>
      <c r="H494" s="8" t="str">
        <f t="shared" si="2"/>
        <v>tross-OW-3-mantle</v>
      </c>
      <c r="I494" s="4">
        <f>vlookup(D494,'mussel-ID_key'!A:C,3,false)</f>
        <v>0</v>
      </c>
      <c r="J494" s="2" t="s">
        <v>450</v>
      </c>
      <c r="L494" s="5"/>
      <c r="M494" s="5"/>
    </row>
    <row r="495">
      <c r="A495" s="2" t="s">
        <v>450</v>
      </c>
      <c r="B495" s="2">
        <v>6.0</v>
      </c>
      <c r="C495" s="4" t="str">
        <f t="shared" si="1"/>
        <v>tross</v>
      </c>
      <c r="D495" s="5" t="str">
        <f t="shared" si="20"/>
        <v>T90</v>
      </c>
      <c r="E495" s="5" t="s">
        <v>699</v>
      </c>
      <c r="F495" s="2" t="s">
        <v>438</v>
      </c>
      <c r="G495" s="2" t="str">
        <f>vlookup(D495,'mussel-ID_key'!A:B,2,false)</f>
        <v>tross-OW-3</v>
      </c>
      <c r="H495" s="8" t="str">
        <f t="shared" si="2"/>
        <v>tross-OW-3-mantle</v>
      </c>
      <c r="I495" s="4">
        <f>vlookup(D495,'mussel-ID_key'!A:C,3,false)</f>
        <v>0</v>
      </c>
      <c r="J495" s="2" t="s">
        <v>450</v>
      </c>
      <c r="L495" s="5"/>
      <c r="M495" s="5"/>
    </row>
    <row r="496">
      <c r="A496" s="2" t="s">
        <v>450</v>
      </c>
      <c r="B496" s="2">
        <v>6.0</v>
      </c>
      <c r="C496" s="4" t="str">
        <f t="shared" si="1"/>
        <v>tross</v>
      </c>
      <c r="D496" s="5" t="str">
        <f t="shared" si="20"/>
        <v>T91</v>
      </c>
      <c r="E496" s="5" t="s">
        <v>700</v>
      </c>
      <c r="F496" s="2" t="s">
        <v>438</v>
      </c>
      <c r="G496" s="2" t="str">
        <f>vlookup(D496,'mussel-ID_key'!A:B,2,false)</f>
        <v>tross-OW-3</v>
      </c>
      <c r="H496" s="8" t="str">
        <f t="shared" si="2"/>
        <v>tross-OW-3-mantle</v>
      </c>
      <c r="I496" s="4">
        <f>vlookup(D496,'mussel-ID_key'!A:C,3,false)</f>
        <v>0</v>
      </c>
      <c r="J496" s="2" t="s">
        <v>450</v>
      </c>
      <c r="L496" s="5"/>
      <c r="M496" s="5"/>
    </row>
    <row r="497">
      <c r="A497" s="2" t="s">
        <v>450</v>
      </c>
      <c r="B497" s="2">
        <v>6.0</v>
      </c>
      <c r="C497" s="4" t="str">
        <f t="shared" si="1"/>
        <v>tross</v>
      </c>
      <c r="D497" s="5" t="str">
        <f t="shared" si="20"/>
        <v>T92</v>
      </c>
      <c r="E497" s="5" t="s">
        <v>701</v>
      </c>
      <c r="F497" s="2" t="s">
        <v>438</v>
      </c>
      <c r="G497" s="2" t="str">
        <f>vlookup(D497,'mussel-ID_key'!A:B,2,false)</f>
        <v>tross-OW-3</v>
      </c>
      <c r="H497" s="8" t="str">
        <f t="shared" si="2"/>
        <v>tross-OW-3-mantle</v>
      </c>
      <c r="I497" s="4">
        <f>vlookup(D497,'mussel-ID_key'!A:C,3,false)</f>
        <v>0</v>
      </c>
      <c r="J497" s="2" t="s">
        <v>450</v>
      </c>
      <c r="L497" s="5"/>
      <c r="M497" s="5"/>
    </row>
    <row r="498">
      <c r="A498" s="2" t="s">
        <v>450</v>
      </c>
      <c r="B498" s="2">
        <v>6.0</v>
      </c>
      <c r="C498" s="4" t="str">
        <f t="shared" si="1"/>
        <v>tross</v>
      </c>
      <c r="D498" s="5" t="str">
        <f t="shared" si="20"/>
        <v>T93</v>
      </c>
      <c r="E498" s="5" t="s">
        <v>702</v>
      </c>
      <c r="F498" s="2" t="s">
        <v>438</v>
      </c>
      <c r="G498" s="2" t="str">
        <f>vlookup(D498,'mussel-ID_key'!A:B,2,false)</f>
        <v>tross-OW-3</v>
      </c>
      <c r="H498" s="8" t="str">
        <f t="shared" si="2"/>
        <v>tross-OW-3-mantle</v>
      </c>
      <c r="I498" s="4">
        <f>vlookup(D498,'mussel-ID_key'!A:C,3,false)</f>
        <v>0</v>
      </c>
      <c r="J498" s="2" t="s">
        <v>450</v>
      </c>
      <c r="L498" s="5"/>
      <c r="M498" s="5"/>
    </row>
    <row r="499">
      <c r="A499" s="5"/>
      <c r="B499" s="5"/>
      <c r="C499" s="5"/>
      <c r="D499" s="5"/>
      <c r="E499" s="5"/>
      <c r="F499" s="5"/>
      <c r="G499" s="5"/>
      <c r="I499" s="5"/>
      <c r="J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I500" s="5"/>
      <c r="J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I501" s="5"/>
      <c r="J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I502" s="5"/>
      <c r="J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I503" s="5"/>
      <c r="J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I504" s="5"/>
      <c r="J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I505" s="5"/>
      <c r="J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I506" s="5"/>
      <c r="J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I507" s="5"/>
      <c r="J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I508" s="5"/>
      <c r="J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I509" s="5"/>
      <c r="J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I510" s="5"/>
      <c r="J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I511" s="5"/>
      <c r="J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I512" s="5"/>
      <c r="J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I513" s="5"/>
      <c r="J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I514" s="5"/>
      <c r="J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I515" s="5"/>
      <c r="J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I516" s="5"/>
      <c r="J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I517" s="5"/>
      <c r="J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I518" s="5"/>
      <c r="J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I519" s="5"/>
      <c r="J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I520" s="5"/>
      <c r="J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I521" s="5"/>
      <c r="J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I522" s="5"/>
      <c r="J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I523" s="5"/>
      <c r="J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I524" s="5"/>
      <c r="J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I525" s="5"/>
      <c r="J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I526" s="5"/>
      <c r="J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I527" s="5"/>
      <c r="J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I528" s="5"/>
      <c r="J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I529" s="5"/>
      <c r="J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I530" s="5"/>
      <c r="J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I531" s="5"/>
      <c r="J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I532" s="5"/>
      <c r="J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I533" s="5"/>
      <c r="J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I534" s="5"/>
      <c r="J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I535" s="5"/>
      <c r="J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I536" s="5"/>
      <c r="J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I537" s="5"/>
      <c r="J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I538" s="5"/>
      <c r="J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I539" s="5"/>
      <c r="J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I540" s="5"/>
      <c r="J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I541" s="5"/>
      <c r="J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I542" s="5"/>
      <c r="J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I543" s="5"/>
      <c r="J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I544" s="5"/>
      <c r="J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I545" s="5"/>
      <c r="J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I546" s="5"/>
      <c r="J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I547" s="5"/>
      <c r="J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I548" s="5"/>
      <c r="J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I549" s="5"/>
      <c r="J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I550" s="5"/>
      <c r="J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I551" s="5"/>
      <c r="J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I552" s="5"/>
      <c r="J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I553" s="5"/>
      <c r="J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I554" s="5"/>
      <c r="J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I555" s="5"/>
      <c r="J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I556" s="5"/>
      <c r="J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I557" s="5"/>
      <c r="J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I558" s="5"/>
      <c r="J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I559" s="5"/>
      <c r="J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I560" s="5"/>
      <c r="J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I561" s="5"/>
      <c r="J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I562" s="5"/>
      <c r="J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I563" s="5"/>
      <c r="J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I564" s="5"/>
      <c r="J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I565" s="5"/>
      <c r="J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I566" s="5"/>
      <c r="J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I567" s="5"/>
      <c r="J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I568" s="5"/>
      <c r="J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I569" s="5"/>
      <c r="J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I570" s="5"/>
      <c r="J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I571" s="5"/>
      <c r="J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I572" s="5"/>
      <c r="J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I573" s="5"/>
      <c r="J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I574" s="5"/>
      <c r="J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I575" s="5"/>
      <c r="J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I576" s="5"/>
      <c r="J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I577" s="5"/>
      <c r="J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I578" s="5"/>
      <c r="J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I579" s="5"/>
      <c r="J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I580" s="5"/>
      <c r="J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I581" s="5"/>
      <c r="J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I582" s="5"/>
      <c r="J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I583" s="5"/>
      <c r="J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I584" s="5"/>
      <c r="J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I585" s="5"/>
      <c r="J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I586" s="5"/>
      <c r="J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I587" s="5"/>
      <c r="J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I588" s="5"/>
      <c r="J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I589" s="5"/>
      <c r="J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I590" s="5"/>
      <c r="J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I591" s="5"/>
      <c r="J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I592" s="5"/>
      <c r="J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I593" s="5"/>
      <c r="J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I594" s="5"/>
      <c r="J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I595" s="5"/>
      <c r="J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I596" s="5"/>
      <c r="J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I597" s="5"/>
      <c r="J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I598" s="5"/>
      <c r="J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I599" s="5"/>
      <c r="J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I600" s="5"/>
      <c r="J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I601" s="5"/>
      <c r="J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I602" s="5"/>
      <c r="J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I603" s="5"/>
      <c r="J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I604" s="5"/>
      <c r="J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I605" s="5"/>
      <c r="J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I606" s="5"/>
      <c r="J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I607" s="5"/>
      <c r="J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I608" s="5"/>
      <c r="J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I609" s="5"/>
      <c r="J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I610" s="5"/>
      <c r="J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I611" s="5"/>
      <c r="J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I612" s="5"/>
      <c r="J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I613" s="5"/>
      <c r="J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I614" s="5"/>
      <c r="J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I615" s="5"/>
      <c r="J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I616" s="5"/>
      <c r="J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I617" s="5"/>
      <c r="J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I618" s="5"/>
      <c r="J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I619" s="5"/>
      <c r="J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I620" s="5"/>
      <c r="J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I621" s="5"/>
      <c r="J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I622" s="5"/>
      <c r="J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I623" s="5"/>
      <c r="J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I624" s="5"/>
      <c r="J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I625" s="5"/>
      <c r="J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I626" s="5"/>
      <c r="J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I627" s="5"/>
      <c r="J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I628" s="5"/>
      <c r="J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I629" s="5"/>
      <c r="J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I630" s="5"/>
      <c r="J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I631" s="5"/>
      <c r="J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I632" s="5"/>
      <c r="J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I633" s="5"/>
      <c r="J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I634" s="5"/>
      <c r="J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I635" s="5"/>
      <c r="J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I636" s="5"/>
      <c r="J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I637" s="5"/>
      <c r="J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I638" s="5"/>
      <c r="J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I639" s="5"/>
      <c r="J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I640" s="5"/>
      <c r="J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I641" s="5"/>
      <c r="J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I642" s="5"/>
      <c r="J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I643" s="5"/>
      <c r="J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I644" s="5"/>
      <c r="J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I645" s="5"/>
      <c r="J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I646" s="5"/>
      <c r="J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I647" s="5"/>
      <c r="J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I648" s="5"/>
      <c r="J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I649" s="5"/>
      <c r="J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I650" s="5"/>
      <c r="J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I651" s="5"/>
      <c r="J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I652" s="5"/>
      <c r="J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I653" s="5"/>
      <c r="J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I654" s="5"/>
      <c r="J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I655" s="5"/>
      <c r="J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I656" s="5"/>
      <c r="J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I657" s="5"/>
      <c r="J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I658" s="5"/>
      <c r="J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I659" s="5"/>
      <c r="J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I660" s="5"/>
      <c r="J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I661" s="5"/>
      <c r="J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I662" s="5"/>
      <c r="J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I663" s="5"/>
      <c r="J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I664" s="5"/>
      <c r="J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I665" s="5"/>
      <c r="J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I666" s="5"/>
      <c r="J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I667" s="5"/>
      <c r="J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I668" s="5"/>
      <c r="J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I669" s="5"/>
      <c r="J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I670" s="5"/>
      <c r="J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I671" s="5"/>
      <c r="J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I672" s="5"/>
      <c r="J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I673" s="5"/>
      <c r="J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I674" s="5"/>
      <c r="J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I675" s="5"/>
      <c r="J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I676" s="5"/>
      <c r="J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I677" s="5"/>
      <c r="J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I678" s="5"/>
      <c r="J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I679" s="5"/>
      <c r="J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I680" s="5"/>
      <c r="J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I681" s="5"/>
      <c r="J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I682" s="5"/>
      <c r="J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I683" s="5"/>
      <c r="J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I684" s="5"/>
      <c r="J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I685" s="5"/>
      <c r="J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I686" s="5"/>
      <c r="J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I687" s="5"/>
      <c r="J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I688" s="5"/>
      <c r="J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I689" s="5"/>
      <c r="J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I690" s="5"/>
      <c r="J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I691" s="5"/>
      <c r="J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I692" s="5"/>
      <c r="J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I693" s="5"/>
      <c r="J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I694" s="5"/>
      <c r="J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I695" s="5"/>
      <c r="J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I696" s="5"/>
      <c r="J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I697" s="5"/>
      <c r="J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I698" s="5"/>
      <c r="J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I699" s="5"/>
      <c r="J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I700" s="5"/>
      <c r="J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I701" s="5"/>
      <c r="J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I702" s="5"/>
      <c r="J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I703" s="5"/>
      <c r="J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I704" s="5"/>
      <c r="J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I705" s="5"/>
      <c r="J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I706" s="5"/>
      <c r="J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I707" s="5"/>
      <c r="J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I708" s="5"/>
      <c r="J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I709" s="5"/>
      <c r="J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I710" s="5"/>
      <c r="J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I711" s="5"/>
      <c r="J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I712" s="5"/>
      <c r="J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I713" s="5"/>
      <c r="J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I714" s="5"/>
      <c r="J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I715" s="5"/>
      <c r="J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I716" s="5"/>
      <c r="J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I717" s="5"/>
      <c r="J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I718" s="5"/>
      <c r="J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I719" s="5"/>
      <c r="J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I720" s="5"/>
      <c r="J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I721" s="5"/>
      <c r="J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I722" s="5"/>
      <c r="J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I723" s="5"/>
      <c r="J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I724" s="5"/>
      <c r="J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I725" s="5"/>
      <c r="J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I726" s="5"/>
      <c r="J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I727" s="5"/>
      <c r="J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I728" s="5"/>
      <c r="J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I729" s="5"/>
      <c r="J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I730" s="5"/>
      <c r="J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I731" s="5"/>
      <c r="J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I732" s="5"/>
      <c r="J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I733" s="5"/>
      <c r="J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I734" s="5"/>
      <c r="J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I735" s="5"/>
      <c r="J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I736" s="5"/>
      <c r="J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I737" s="5"/>
      <c r="J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I738" s="5"/>
      <c r="J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I739" s="5"/>
      <c r="J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I740" s="5"/>
      <c r="J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I741" s="5"/>
      <c r="J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I742" s="5"/>
      <c r="J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I743" s="5"/>
      <c r="J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I744" s="5"/>
      <c r="J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I745" s="5"/>
      <c r="J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I746" s="5"/>
      <c r="J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I747" s="5"/>
      <c r="J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I748" s="5"/>
      <c r="J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I749" s="5"/>
      <c r="J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I750" s="5"/>
      <c r="J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I751" s="5"/>
      <c r="J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I752" s="5"/>
      <c r="J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I753" s="5"/>
      <c r="J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I754" s="5"/>
      <c r="J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I755" s="5"/>
      <c r="J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I756" s="5"/>
      <c r="J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I757" s="5"/>
      <c r="J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I758" s="5"/>
      <c r="J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I759" s="5"/>
      <c r="J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I760" s="5"/>
      <c r="J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I761" s="5"/>
      <c r="J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I762" s="5"/>
      <c r="J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I763" s="5"/>
      <c r="J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I764" s="5"/>
      <c r="J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I765" s="5"/>
      <c r="J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I766" s="5"/>
      <c r="J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I767" s="5"/>
      <c r="J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I768" s="5"/>
      <c r="J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I769" s="5"/>
      <c r="J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I770" s="5"/>
      <c r="J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I771" s="5"/>
      <c r="J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I772" s="5"/>
      <c r="J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I773" s="5"/>
      <c r="J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I774" s="5"/>
      <c r="J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I775" s="5"/>
      <c r="J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I776" s="5"/>
      <c r="J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I777" s="5"/>
      <c r="J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I778" s="5"/>
      <c r="J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I779" s="5"/>
      <c r="J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I780" s="5"/>
      <c r="J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I781" s="5"/>
      <c r="J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I782" s="5"/>
      <c r="J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I783" s="5"/>
      <c r="J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I784" s="5"/>
      <c r="J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I785" s="5"/>
      <c r="J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I786" s="5"/>
      <c r="J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I787" s="5"/>
      <c r="J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I788" s="5"/>
      <c r="J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I789" s="5"/>
      <c r="J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I790" s="5"/>
      <c r="J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I791" s="5"/>
      <c r="J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I792" s="5"/>
      <c r="J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I793" s="5"/>
      <c r="J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I794" s="5"/>
      <c r="J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I795" s="5"/>
      <c r="J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I796" s="5"/>
      <c r="J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I797" s="5"/>
      <c r="J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I798" s="5"/>
      <c r="J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I799" s="5"/>
      <c r="J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I800" s="5"/>
      <c r="J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I801" s="5"/>
      <c r="J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I802" s="5"/>
      <c r="J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I803" s="5"/>
      <c r="J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I804" s="5"/>
      <c r="J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I805" s="5"/>
      <c r="J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I806" s="5"/>
      <c r="J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I807" s="5"/>
      <c r="J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I808" s="5"/>
      <c r="J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I809" s="5"/>
      <c r="J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I810" s="5"/>
      <c r="J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I811" s="5"/>
      <c r="J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I812" s="5"/>
      <c r="J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I813" s="5"/>
      <c r="J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I814" s="5"/>
      <c r="J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I815" s="5"/>
      <c r="J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I816" s="5"/>
      <c r="J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I817" s="5"/>
      <c r="J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I818" s="5"/>
      <c r="J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I819" s="5"/>
      <c r="J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I820" s="5"/>
      <c r="J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I821" s="5"/>
      <c r="J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I822" s="5"/>
      <c r="J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I823" s="5"/>
      <c r="J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I824" s="5"/>
      <c r="J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I825" s="5"/>
      <c r="J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I826" s="5"/>
      <c r="J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I827" s="5"/>
      <c r="J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I828" s="5"/>
      <c r="J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I829" s="5"/>
      <c r="J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I830" s="5"/>
      <c r="J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I831" s="5"/>
      <c r="J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I832" s="5"/>
      <c r="J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I833" s="5"/>
      <c r="J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I834" s="5"/>
      <c r="J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I835" s="5"/>
      <c r="J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I836" s="5"/>
      <c r="J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I837" s="5"/>
      <c r="J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I838" s="5"/>
      <c r="J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I839" s="5"/>
      <c r="J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I840" s="5"/>
      <c r="J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I841" s="5"/>
      <c r="J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I842" s="5"/>
      <c r="J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I843" s="5"/>
      <c r="J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I844" s="5"/>
      <c r="J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I845" s="5"/>
      <c r="J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I846" s="5"/>
      <c r="J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I847" s="5"/>
      <c r="J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I848" s="5"/>
      <c r="J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I849" s="5"/>
      <c r="J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I850" s="5"/>
      <c r="J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I851" s="5"/>
      <c r="J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I852" s="5"/>
      <c r="J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I853" s="5"/>
      <c r="J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I854" s="5"/>
      <c r="J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I855" s="5"/>
      <c r="J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I856" s="5"/>
      <c r="J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I857" s="5"/>
      <c r="J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I858" s="5"/>
      <c r="J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I859" s="5"/>
      <c r="J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I860" s="5"/>
      <c r="J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I861" s="5"/>
      <c r="J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I862" s="5"/>
      <c r="J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I863" s="5"/>
      <c r="J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I864" s="5"/>
      <c r="J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I865" s="5"/>
      <c r="J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I866" s="5"/>
      <c r="J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I867" s="5"/>
      <c r="J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I868" s="5"/>
      <c r="J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I869" s="5"/>
      <c r="J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I870" s="5"/>
      <c r="J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I871" s="5"/>
      <c r="J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I872" s="5"/>
      <c r="J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I873" s="5"/>
      <c r="J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I874" s="5"/>
      <c r="J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I875" s="5"/>
      <c r="J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I876" s="5"/>
      <c r="J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I877" s="5"/>
      <c r="J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I878" s="5"/>
      <c r="J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I879" s="5"/>
      <c r="J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I880" s="5"/>
      <c r="J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I881" s="5"/>
      <c r="J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I882" s="5"/>
      <c r="J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I883" s="5"/>
      <c r="J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I884" s="5"/>
      <c r="J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I885" s="5"/>
      <c r="J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I886" s="5"/>
      <c r="J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I887" s="5"/>
      <c r="J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I888" s="5"/>
      <c r="J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I889" s="5"/>
      <c r="J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I890" s="5"/>
      <c r="J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I891" s="5"/>
      <c r="J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I892" s="5"/>
      <c r="J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I893" s="5"/>
      <c r="J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I894" s="5"/>
      <c r="J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I895" s="5"/>
      <c r="J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I896" s="5"/>
      <c r="J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I897" s="5"/>
      <c r="J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I898" s="5"/>
      <c r="J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I899" s="5"/>
      <c r="J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I900" s="5"/>
      <c r="J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I901" s="5"/>
      <c r="J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I902" s="5"/>
      <c r="J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I903" s="5"/>
      <c r="J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I904" s="5"/>
      <c r="J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I905" s="5"/>
      <c r="J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I906" s="5"/>
      <c r="J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I907" s="5"/>
      <c r="J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I908" s="5"/>
      <c r="J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I909" s="5"/>
      <c r="J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I910" s="5"/>
      <c r="J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I911" s="5"/>
      <c r="J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I912" s="5"/>
      <c r="J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I913" s="5"/>
      <c r="J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I914" s="5"/>
      <c r="J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I915" s="5"/>
      <c r="J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I916" s="5"/>
      <c r="J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I917" s="5"/>
      <c r="J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I918" s="5"/>
      <c r="J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I919" s="5"/>
      <c r="J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I920" s="5"/>
      <c r="J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I921" s="5"/>
      <c r="J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I922" s="5"/>
      <c r="J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I923" s="5"/>
      <c r="J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I924" s="5"/>
      <c r="J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I925" s="5"/>
      <c r="J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I926" s="5"/>
      <c r="J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I927" s="5"/>
      <c r="J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I928" s="5"/>
      <c r="J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I929" s="5"/>
      <c r="J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I930" s="5"/>
      <c r="J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I931" s="5"/>
      <c r="J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I932" s="5"/>
      <c r="J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I933" s="5"/>
      <c r="J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I934" s="5"/>
      <c r="J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I935" s="5"/>
      <c r="J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I936" s="5"/>
      <c r="J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I937" s="5"/>
      <c r="J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I938" s="5"/>
      <c r="J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I939" s="5"/>
      <c r="J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I940" s="5"/>
      <c r="J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I941" s="5"/>
      <c r="J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I942" s="5"/>
      <c r="J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I943" s="5"/>
      <c r="J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I944" s="5"/>
      <c r="J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I945" s="5"/>
      <c r="J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I946" s="5"/>
      <c r="J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I947" s="5"/>
      <c r="J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I948" s="5"/>
      <c r="J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I949" s="5"/>
      <c r="J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I950" s="5"/>
      <c r="J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I951" s="5"/>
      <c r="J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I952" s="5"/>
      <c r="J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I953" s="5"/>
      <c r="J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I954" s="5"/>
      <c r="J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I955" s="5"/>
      <c r="J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I956" s="5"/>
      <c r="J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I957" s="5"/>
      <c r="J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I958" s="5"/>
      <c r="J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I959" s="5"/>
      <c r="J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I960" s="5"/>
      <c r="J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I961" s="5"/>
      <c r="J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I962" s="5"/>
      <c r="J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I963" s="5"/>
      <c r="J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I964" s="5"/>
      <c r="J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I965" s="5"/>
      <c r="J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I966" s="5"/>
      <c r="J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I967" s="5"/>
      <c r="J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I968" s="5"/>
      <c r="J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I969" s="5"/>
      <c r="J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I970" s="5"/>
      <c r="J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I971" s="5"/>
      <c r="J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I972" s="5"/>
      <c r="J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I973" s="5"/>
      <c r="J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I974" s="5"/>
      <c r="J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I975" s="5"/>
      <c r="J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I976" s="5"/>
      <c r="J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I977" s="5"/>
      <c r="J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I978" s="5"/>
      <c r="J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I979" s="5"/>
      <c r="J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I980" s="5"/>
      <c r="J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I981" s="5"/>
      <c r="J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I982" s="5"/>
      <c r="J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I983" s="5"/>
      <c r="J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I984" s="5"/>
      <c r="J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I985" s="5"/>
      <c r="J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I986" s="5"/>
      <c r="J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I987" s="5"/>
      <c r="J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I988" s="5"/>
      <c r="J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I989" s="5"/>
      <c r="J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I990" s="5"/>
      <c r="J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I991" s="5"/>
      <c r="J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I992" s="5"/>
      <c r="J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I993" s="5"/>
      <c r="J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I994" s="5"/>
      <c r="J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I995" s="5"/>
      <c r="J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I996" s="5"/>
      <c r="J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I997" s="5"/>
      <c r="J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I998" s="5"/>
      <c r="J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I999" s="5"/>
      <c r="J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I1000" s="5"/>
      <c r="J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I1001" s="5"/>
      <c r="J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I1002" s="5"/>
      <c r="J1002" s="5"/>
      <c r="L1002" s="5"/>
      <c r="M1002" s="5"/>
    </row>
    <row r="1003">
      <c r="A1003" s="5"/>
      <c r="B1003" s="5"/>
      <c r="C1003" s="5"/>
      <c r="D1003" s="5"/>
      <c r="E1003" s="5"/>
      <c r="F1003" s="5"/>
      <c r="G1003" s="5"/>
      <c r="I1003" s="5"/>
      <c r="J1003" s="5"/>
      <c r="L1003" s="5"/>
      <c r="M1003" s="5"/>
    </row>
    <row r="1004">
      <c r="A1004" s="5"/>
      <c r="B1004" s="5"/>
      <c r="C1004" s="5"/>
      <c r="D1004" s="5"/>
      <c r="E1004" s="5"/>
      <c r="F1004" s="5"/>
      <c r="G1004" s="5"/>
      <c r="I1004" s="5"/>
      <c r="J1004" s="5"/>
      <c r="L1004" s="5"/>
      <c r="M1004" s="5"/>
    </row>
    <row r="1005">
      <c r="A1005" s="5"/>
      <c r="B1005" s="5"/>
      <c r="C1005" s="5"/>
      <c r="D1005" s="5"/>
      <c r="E1005" s="5"/>
      <c r="F1005" s="5"/>
      <c r="G1005" s="5"/>
      <c r="I1005" s="5"/>
      <c r="J1005" s="5"/>
      <c r="L1005" s="5"/>
      <c r="M1005" s="5"/>
    </row>
    <row r="1006">
      <c r="A1006" s="5"/>
      <c r="B1006" s="5"/>
      <c r="C1006" s="5"/>
      <c r="D1006" s="5"/>
      <c r="E1006" s="5"/>
      <c r="F1006" s="5"/>
      <c r="G1006" s="5"/>
      <c r="I1006" s="5"/>
      <c r="J1006" s="5"/>
      <c r="L1006" s="5"/>
      <c r="M100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6.88"/>
    <col customWidth="1" min="3" max="3" width="9.88"/>
    <col customWidth="1" min="5" max="5" width="16.88"/>
    <col customWidth="1" min="6" max="6" width="1.88"/>
  </cols>
  <sheetData>
    <row r="1">
      <c r="A1" s="7" t="s">
        <v>703</v>
      </c>
      <c r="B1" s="7" t="s">
        <v>704</v>
      </c>
      <c r="C1" s="2" t="s">
        <v>9</v>
      </c>
    </row>
    <row r="2">
      <c r="A2" s="7" t="s">
        <v>13</v>
      </c>
      <c r="B2" s="7" t="s">
        <v>15</v>
      </c>
      <c r="C2" s="2">
        <v>0.0</v>
      </c>
      <c r="E2" s="13" t="s">
        <v>15</v>
      </c>
      <c r="F2" s="8">
        <f t="shared" ref="F2:F18" si="1">countif(#REF!,E2)</f>
        <v>0</v>
      </c>
    </row>
    <row r="3">
      <c r="A3" s="7" t="s">
        <v>21</v>
      </c>
      <c r="B3" s="7" t="s">
        <v>15</v>
      </c>
      <c r="C3" s="2">
        <v>0.0</v>
      </c>
      <c r="E3" s="13" t="s">
        <v>159</v>
      </c>
      <c r="F3" s="8">
        <f t="shared" si="1"/>
        <v>0</v>
      </c>
    </row>
    <row r="4">
      <c r="A4" s="7" t="s">
        <v>25</v>
      </c>
      <c r="B4" s="7" t="s">
        <v>15</v>
      </c>
      <c r="C4" s="2">
        <v>0.0</v>
      </c>
      <c r="E4" s="13" t="s">
        <v>705</v>
      </c>
      <c r="F4" s="8">
        <f t="shared" si="1"/>
        <v>0</v>
      </c>
    </row>
    <row r="5">
      <c r="A5" s="7" t="s">
        <v>28</v>
      </c>
      <c r="B5" s="7" t="s">
        <v>15</v>
      </c>
      <c r="C5" s="2">
        <v>0.0</v>
      </c>
      <c r="E5" s="13" t="s">
        <v>93</v>
      </c>
      <c r="F5" s="8">
        <f t="shared" si="1"/>
        <v>0</v>
      </c>
    </row>
    <row r="6">
      <c r="A6" s="7" t="s">
        <v>31</v>
      </c>
      <c r="B6" s="7" t="s">
        <v>15</v>
      </c>
      <c r="C6" s="2">
        <v>0.0</v>
      </c>
      <c r="E6" s="13" t="s">
        <v>706</v>
      </c>
      <c r="F6" s="8">
        <f t="shared" si="1"/>
        <v>0</v>
      </c>
    </row>
    <row r="7">
      <c r="A7" s="7" t="s">
        <v>34</v>
      </c>
      <c r="B7" s="7" t="s">
        <v>15</v>
      </c>
      <c r="C7" s="2">
        <v>0.0</v>
      </c>
      <c r="E7" s="13" t="s">
        <v>57</v>
      </c>
      <c r="F7" s="8">
        <f t="shared" si="1"/>
        <v>0</v>
      </c>
    </row>
    <row r="8">
      <c r="A8" s="7" t="s">
        <v>37</v>
      </c>
      <c r="B8" s="7" t="s">
        <v>15</v>
      </c>
      <c r="C8" s="2">
        <v>0.0</v>
      </c>
      <c r="E8" s="13" t="s">
        <v>707</v>
      </c>
      <c r="F8" s="8">
        <f t="shared" si="1"/>
        <v>0</v>
      </c>
    </row>
    <row r="9">
      <c r="A9" s="7" t="s">
        <v>40</v>
      </c>
      <c r="B9" s="7" t="s">
        <v>15</v>
      </c>
      <c r="C9" s="2">
        <v>0.0</v>
      </c>
      <c r="E9" s="13" t="s">
        <v>80</v>
      </c>
      <c r="F9" s="8">
        <f t="shared" si="1"/>
        <v>0</v>
      </c>
    </row>
    <row r="10">
      <c r="A10" s="7" t="s">
        <v>43</v>
      </c>
      <c r="B10" s="7" t="s">
        <v>15</v>
      </c>
      <c r="C10" s="2">
        <v>0.0</v>
      </c>
      <c r="E10" s="13" t="s">
        <v>198</v>
      </c>
      <c r="F10" s="8">
        <f t="shared" si="1"/>
        <v>0</v>
      </c>
    </row>
    <row r="11">
      <c r="A11" s="7" t="s">
        <v>46</v>
      </c>
      <c r="B11" s="7" t="s">
        <v>15</v>
      </c>
      <c r="C11" s="2">
        <v>0.0</v>
      </c>
      <c r="E11" s="13" t="s">
        <v>260</v>
      </c>
      <c r="F11" s="8">
        <f t="shared" si="1"/>
        <v>0</v>
      </c>
    </row>
    <row r="12">
      <c r="A12" s="7" t="s">
        <v>49</v>
      </c>
      <c r="B12" s="7" t="s">
        <v>15</v>
      </c>
      <c r="C12" s="2">
        <v>0.0</v>
      </c>
      <c r="E12" s="13" t="s">
        <v>300</v>
      </c>
      <c r="F12" s="8">
        <f t="shared" si="1"/>
        <v>0</v>
      </c>
    </row>
    <row r="13">
      <c r="A13" s="7" t="s">
        <v>52</v>
      </c>
      <c r="B13" s="7" t="s">
        <v>15</v>
      </c>
      <c r="C13" s="2">
        <v>0.0</v>
      </c>
      <c r="E13" s="13" t="s">
        <v>708</v>
      </c>
      <c r="F13" s="8">
        <f t="shared" si="1"/>
        <v>0</v>
      </c>
    </row>
    <row r="14">
      <c r="A14" s="7" t="s">
        <v>197</v>
      </c>
      <c r="B14" s="7" t="s">
        <v>198</v>
      </c>
      <c r="C14" s="2">
        <v>0.0</v>
      </c>
      <c r="E14" s="13" t="s">
        <v>235</v>
      </c>
      <c r="F14" s="8">
        <f t="shared" si="1"/>
        <v>0</v>
      </c>
    </row>
    <row r="15">
      <c r="A15" s="7" t="s">
        <v>204</v>
      </c>
      <c r="B15" s="7" t="s">
        <v>198</v>
      </c>
      <c r="C15" s="2">
        <v>0.0</v>
      </c>
      <c r="E15" s="13" t="s">
        <v>709</v>
      </c>
      <c r="F15" s="8">
        <f t="shared" si="1"/>
        <v>0</v>
      </c>
    </row>
    <row r="16">
      <c r="A16" s="7" t="s">
        <v>207</v>
      </c>
      <c r="B16" s="7" t="s">
        <v>198</v>
      </c>
      <c r="C16" s="2">
        <v>0.0</v>
      </c>
      <c r="E16" s="13" t="s">
        <v>248</v>
      </c>
      <c r="F16" s="8">
        <f t="shared" si="1"/>
        <v>0</v>
      </c>
    </row>
    <row r="17">
      <c r="A17" s="7" t="s">
        <v>210</v>
      </c>
      <c r="B17" s="7" t="s">
        <v>198</v>
      </c>
      <c r="C17" s="2">
        <v>0.0</v>
      </c>
      <c r="E17" s="13" t="s">
        <v>710</v>
      </c>
      <c r="F17" s="8">
        <f t="shared" si="1"/>
        <v>0</v>
      </c>
    </row>
    <row r="18">
      <c r="A18" s="7" t="s">
        <v>213</v>
      </c>
      <c r="B18" s="7" t="s">
        <v>198</v>
      </c>
      <c r="C18" s="2">
        <v>0.0</v>
      </c>
      <c r="E18" s="13" t="s">
        <v>369</v>
      </c>
      <c r="F18" s="8">
        <f t="shared" si="1"/>
        <v>0</v>
      </c>
    </row>
    <row r="19">
      <c r="A19" s="7" t="s">
        <v>216</v>
      </c>
      <c r="B19" s="7" t="s">
        <v>198</v>
      </c>
      <c r="C19" s="2">
        <v>0.0</v>
      </c>
    </row>
    <row r="20">
      <c r="A20" s="7" t="s">
        <v>219</v>
      </c>
      <c r="B20" s="7" t="s">
        <v>198</v>
      </c>
      <c r="C20" s="2">
        <v>0.0</v>
      </c>
    </row>
    <row r="21">
      <c r="A21" s="7" t="s">
        <v>222</v>
      </c>
      <c r="B21" s="7" t="s">
        <v>198</v>
      </c>
      <c r="C21" s="2">
        <v>0.0</v>
      </c>
    </row>
    <row r="22">
      <c r="A22" s="7" t="s">
        <v>225</v>
      </c>
      <c r="B22" s="7" t="s">
        <v>198</v>
      </c>
      <c r="C22" s="2">
        <v>0.0</v>
      </c>
    </row>
    <row r="23">
      <c r="A23" s="7" t="s">
        <v>228</v>
      </c>
      <c r="B23" s="7" t="s">
        <v>198</v>
      </c>
      <c r="C23" s="2">
        <v>0.0</v>
      </c>
    </row>
    <row r="24">
      <c r="A24" s="7" t="s">
        <v>231</v>
      </c>
      <c r="B24" s="7" t="s">
        <v>198</v>
      </c>
      <c r="C24" s="2">
        <v>0.0</v>
      </c>
    </row>
    <row r="25">
      <c r="A25" s="7" t="s">
        <v>256</v>
      </c>
      <c r="B25" s="7" t="s">
        <v>198</v>
      </c>
      <c r="C25" s="2">
        <v>0.0</v>
      </c>
    </row>
    <row r="26">
      <c r="A26" s="7" t="s">
        <v>158</v>
      </c>
      <c r="B26" s="7" t="s">
        <v>159</v>
      </c>
      <c r="C26" s="2">
        <v>0.0</v>
      </c>
    </row>
    <row r="27">
      <c r="A27" s="7" t="s">
        <v>164</v>
      </c>
      <c r="B27" s="7" t="s">
        <v>159</v>
      </c>
      <c r="C27" s="2">
        <v>0.0</v>
      </c>
    </row>
    <row r="28">
      <c r="A28" s="7" t="s">
        <v>167</v>
      </c>
      <c r="B28" s="7" t="s">
        <v>159</v>
      </c>
      <c r="C28" s="2">
        <v>0.0</v>
      </c>
    </row>
    <row r="29">
      <c r="A29" s="7" t="s">
        <v>170</v>
      </c>
      <c r="B29" s="7" t="s">
        <v>159</v>
      </c>
      <c r="C29" s="2">
        <v>0.0</v>
      </c>
    </row>
    <row r="30">
      <c r="A30" s="7" t="s">
        <v>173</v>
      </c>
      <c r="B30" s="7" t="s">
        <v>159</v>
      </c>
      <c r="C30" s="2">
        <v>0.0</v>
      </c>
    </row>
    <row r="31">
      <c r="A31" s="7" t="s">
        <v>176</v>
      </c>
      <c r="B31" s="7" t="s">
        <v>159</v>
      </c>
      <c r="C31" s="2">
        <v>0.0</v>
      </c>
    </row>
    <row r="32">
      <c r="A32" s="7" t="s">
        <v>179</v>
      </c>
      <c r="B32" s="7" t="s">
        <v>159</v>
      </c>
      <c r="C32" s="2">
        <v>0.0</v>
      </c>
    </row>
    <row r="33">
      <c r="A33" s="7" t="s">
        <v>182</v>
      </c>
      <c r="B33" s="7" t="s">
        <v>159</v>
      </c>
      <c r="C33" s="2">
        <v>0.0</v>
      </c>
    </row>
    <row r="34">
      <c r="A34" s="7" t="s">
        <v>185</v>
      </c>
      <c r="B34" s="7" t="s">
        <v>159</v>
      </c>
      <c r="C34" s="2">
        <v>0.0</v>
      </c>
    </row>
    <row r="35">
      <c r="A35" s="7" t="s">
        <v>188</v>
      </c>
      <c r="B35" s="7" t="s">
        <v>159</v>
      </c>
      <c r="C35" s="2">
        <v>0.0</v>
      </c>
    </row>
    <row r="36">
      <c r="A36" s="7" t="s">
        <v>191</v>
      </c>
      <c r="B36" s="7" t="s">
        <v>159</v>
      </c>
      <c r="C36" s="2">
        <v>0.0</v>
      </c>
    </row>
    <row r="37">
      <c r="A37" s="7" t="s">
        <v>194</v>
      </c>
      <c r="B37" s="7" t="s">
        <v>159</v>
      </c>
      <c r="C37" s="2">
        <v>0.0</v>
      </c>
    </row>
    <row r="38">
      <c r="A38" s="7" t="s">
        <v>259</v>
      </c>
      <c r="B38" s="7" t="s">
        <v>260</v>
      </c>
      <c r="C38" s="2">
        <v>0.0</v>
      </c>
    </row>
    <row r="39">
      <c r="A39" s="7" t="s">
        <v>265</v>
      </c>
      <c r="B39" s="7" t="s">
        <v>260</v>
      </c>
      <c r="C39" s="2">
        <v>0.0</v>
      </c>
    </row>
    <row r="40">
      <c r="A40" s="7" t="s">
        <v>268</v>
      </c>
      <c r="B40" s="7" t="s">
        <v>260</v>
      </c>
      <c r="C40" s="2">
        <v>0.0</v>
      </c>
    </row>
    <row r="41">
      <c r="A41" s="7" t="s">
        <v>271</v>
      </c>
      <c r="B41" s="7" t="s">
        <v>260</v>
      </c>
      <c r="C41" s="2">
        <v>0.0</v>
      </c>
    </row>
    <row r="42">
      <c r="A42" s="7" t="s">
        <v>274</v>
      </c>
      <c r="B42" s="7" t="s">
        <v>260</v>
      </c>
      <c r="C42" s="2">
        <v>0.0</v>
      </c>
    </row>
    <row r="43">
      <c r="A43" s="7" t="s">
        <v>277</v>
      </c>
      <c r="B43" s="7" t="s">
        <v>260</v>
      </c>
      <c r="C43" s="2">
        <v>0.0</v>
      </c>
    </row>
    <row r="44">
      <c r="A44" s="7" t="s">
        <v>280</v>
      </c>
      <c r="B44" s="7" t="s">
        <v>260</v>
      </c>
      <c r="C44" s="2">
        <v>0.0</v>
      </c>
    </row>
    <row r="45">
      <c r="A45" s="7" t="s">
        <v>283</v>
      </c>
      <c r="B45" s="7" t="s">
        <v>260</v>
      </c>
      <c r="C45" s="2">
        <v>0.0</v>
      </c>
    </row>
    <row r="46">
      <c r="A46" s="7" t="s">
        <v>286</v>
      </c>
      <c r="B46" s="7" t="s">
        <v>260</v>
      </c>
      <c r="C46" s="2">
        <v>0.0</v>
      </c>
    </row>
    <row r="47">
      <c r="A47" s="7" t="s">
        <v>289</v>
      </c>
      <c r="B47" s="7" t="s">
        <v>260</v>
      </c>
      <c r="C47" s="2">
        <v>0.0</v>
      </c>
    </row>
    <row r="48">
      <c r="A48" s="7" t="s">
        <v>292</v>
      </c>
      <c r="B48" s="7" t="s">
        <v>260</v>
      </c>
      <c r="C48" s="2">
        <v>0.0</v>
      </c>
    </row>
    <row r="49">
      <c r="A49" s="7" t="s">
        <v>295</v>
      </c>
      <c r="B49" s="7" t="s">
        <v>260</v>
      </c>
      <c r="C49" s="2">
        <v>0.0</v>
      </c>
    </row>
    <row r="50">
      <c r="A50" s="7" t="s">
        <v>299</v>
      </c>
      <c r="B50" s="7" t="s">
        <v>300</v>
      </c>
      <c r="C50" s="2">
        <v>0.0</v>
      </c>
    </row>
    <row r="51">
      <c r="A51" s="7" t="s">
        <v>305</v>
      </c>
      <c r="B51" s="7" t="s">
        <v>300</v>
      </c>
      <c r="C51" s="2">
        <v>0.0</v>
      </c>
    </row>
    <row r="52">
      <c r="A52" s="7" t="s">
        <v>311</v>
      </c>
      <c r="B52" s="7" t="s">
        <v>300</v>
      </c>
      <c r="C52" s="2">
        <v>0.0</v>
      </c>
    </row>
    <row r="53">
      <c r="A53" s="7" t="s">
        <v>314</v>
      </c>
      <c r="B53" s="7" t="s">
        <v>300</v>
      </c>
      <c r="C53" s="2">
        <v>0.0</v>
      </c>
    </row>
    <row r="54">
      <c r="A54" s="7" t="s">
        <v>317</v>
      </c>
      <c r="B54" s="7" t="s">
        <v>300</v>
      </c>
      <c r="C54" s="2">
        <v>0.0</v>
      </c>
    </row>
    <row r="55">
      <c r="A55" s="7" t="s">
        <v>320</v>
      </c>
      <c r="B55" s="7" t="s">
        <v>300</v>
      </c>
      <c r="C55" s="2">
        <v>0.0</v>
      </c>
    </row>
    <row r="56">
      <c r="A56" s="7" t="s">
        <v>323</v>
      </c>
      <c r="B56" s="7" t="s">
        <v>300</v>
      </c>
      <c r="C56" s="2">
        <v>0.0</v>
      </c>
    </row>
    <row r="57">
      <c r="A57" s="7" t="s">
        <v>326</v>
      </c>
      <c r="B57" s="7" t="s">
        <v>300</v>
      </c>
      <c r="C57" s="2">
        <v>0.0</v>
      </c>
    </row>
    <row r="58">
      <c r="A58" s="7" t="s">
        <v>329</v>
      </c>
      <c r="B58" s="7" t="s">
        <v>300</v>
      </c>
      <c r="C58" s="2">
        <v>0.0</v>
      </c>
    </row>
    <row r="59">
      <c r="A59" s="7" t="s">
        <v>332</v>
      </c>
      <c r="B59" s="7" t="s">
        <v>300</v>
      </c>
      <c r="C59" s="2">
        <v>0.0</v>
      </c>
    </row>
    <row r="60">
      <c r="A60" s="7" t="s">
        <v>335</v>
      </c>
      <c r="B60" s="7" t="s">
        <v>300</v>
      </c>
      <c r="C60" s="2">
        <v>0.0</v>
      </c>
    </row>
    <row r="61">
      <c r="A61" s="7" t="s">
        <v>338</v>
      </c>
      <c r="B61" s="7" t="s">
        <v>300</v>
      </c>
      <c r="C61" s="2">
        <v>0.0</v>
      </c>
    </row>
    <row r="62">
      <c r="A62" s="7" t="s">
        <v>468</v>
      </c>
      <c r="B62" s="7" t="s">
        <v>705</v>
      </c>
      <c r="C62" s="2">
        <v>0.0</v>
      </c>
    </row>
    <row r="63">
      <c r="A63" s="7" t="s">
        <v>464</v>
      </c>
      <c r="B63" s="7" t="s">
        <v>705</v>
      </c>
      <c r="C63" s="2">
        <v>0.0</v>
      </c>
    </row>
    <row r="64">
      <c r="A64" s="7" t="s">
        <v>466</v>
      </c>
      <c r="B64" s="7" t="s">
        <v>705</v>
      </c>
      <c r="C64" s="2">
        <v>0.0</v>
      </c>
    </row>
    <row r="65">
      <c r="A65" s="7" t="s">
        <v>472</v>
      </c>
      <c r="B65" s="7" t="s">
        <v>705</v>
      </c>
      <c r="C65" s="2">
        <v>0.0</v>
      </c>
    </row>
    <row r="66">
      <c r="A66" s="7" t="s">
        <v>470</v>
      </c>
      <c r="B66" s="7" t="s">
        <v>705</v>
      </c>
      <c r="C66" s="2">
        <v>0.0</v>
      </c>
    </row>
    <row r="67">
      <c r="A67" s="7" t="s">
        <v>573</v>
      </c>
      <c r="B67" s="7" t="s">
        <v>708</v>
      </c>
      <c r="C67" s="2">
        <v>0.0</v>
      </c>
    </row>
    <row r="68">
      <c r="A68" s="7" t="s">
        <v>569</v>
      </c>
      <c r="B68" s="7" t="s">
        <v>708</v>
      </c>
      <c r="C68" s="2">
        <v>0.0</v>
      </c>
    </row>
    <row r="69">
      <c r="A69" s="7" t="s">
        <v>577</v>
      </c>
      <c r="B69" s="7" t="s">
        <v>708</v>
      </c>
      <c r="C69" s="2">
        <v>0.0</v>
      </c>
    </row>
    <row r="70">
      <c r="A70" s="7" t="s">
        <v>575</v>
      </c>
      <c r="B70" s="7" t="s">
        <v>708</v>
      </c>
      <c r="C70" s="2">
        <v>0.0</v>
      </c>
    </row>
    <row r="71">
      <c r="A71" s="7" t="s">
        <v>571</v>
      </c>
      <c r="B71" s="7" t="s">
        <v>708</v>
      </c>
      <c r="C71" s="2">
        <v>0.0</v>
      </c>
    </row>
    <row r="72">
      <c r="A72" s="7" t="s">
        <v>92</v>
      </c>
      <c r="B72" s="7" t="s">
        <v>93</v>
      </c>
      <c r="C72" s="2">
        <v>0.0</v>
      </c>
    </row>
    <row r="73">
      <c r="A73" s="7" t="s">
        <v>104</v>
      </c>
      <c r="B73" s="7" t="s">
        <v>93</v>
      </c>
      <c r="C73" s="2">
        <v>0.0</v>
      </c>
    </row>
    <row r="74">
      <c r="A74" s="7" t="s">
        <v>107</v>
      </c>
      <c r="B74" s="7" t="s">
        <v>93</v>
      </c>
      <c r="C74" s="2">
        <v>0.0</v>
      </c>
    </row>
    <row r="75">
      <c r="A75" s="7" t="s">
        <v>110</v>
      </c>
      <c r="B75" s="7" t="s">
        <v>93</v>
      </c>
      <c r="C75" s="2">
        <v>0.0</v>
      </c>
    </row>
    <row r="76">
      <c r="A76" s="7" t="s">
        <v>113</v>
      </c>
      <c r="B76" s="7" t="s">
        <v>93</v>
      </c>
      <c r="C76" s="2">
        <v>0.0</v>
      </c>
    </row>
    <row r="77">
      <c r="A77" s="7" t="s">
        <v>119</v>
      </c>
      <c r="B77" s="7" t="s">
        <v>93</v>
      </c>
      <c r="C77" s="2">
        <v>0.0</v>
      </c>
    </row>
    <row r="78">
      <c r="A78" s="7" t="s">
        <v>122</v>
      </c>
      <c r="B78" s="7" t="s">
        <v>93</v>
      </c>
      <c r="C78" s="2">
        <v>0.0</v>
      </c>
    </row>
    <row r="79">
      <c r="A79" s="7" t="s">
        <v>125</v>
      </c>
      <c r="B79" s="7" t="s">
        <v>93</v>
      </c>
      <c r="C79" s="2">
        <v>0.0</v>
      </c>
    </row>
    <row r="80">
      <c r="A80" s="7" t="s">
        <v>128</v>
      </c>
      <c r="B80" s="7" t="s">
        <v>93</v>
      </c>
      <c r="C80" s="2">
        <v>0.0</v>
      </c>
    </row>
    <row r="81">
      <c r="A81" s="7" t="s">
        <v>131</v>
      </c>
      <c r="B81" s="7" t="s">
        <v>93</v>
      </c>
      <c r="C81" s="2">
        <v>0.0</v>
      </c>
    </row>
    <row r="82">
      <c r="A82" s="7" t="s">
        <v>234</v>
      </c>
      <c r="B82" s="7" t="s">
        <v>235</v>
      </c>
      <c r="C82" s="2">
        <v>0.0</v>
      </c>
    </row>
    <row r="83">
      <c r="A83" s="7" t="s">
        <v>241</v>
      </c>
      <c r="B83" s="7" t="s">
        <v>235</v>
      </c>
      <c r="C83" s="2">
        <v>0.0</v>
      </c>
    </row>
    <row r="84">
      <c r="A84" s="7" t="s">
        <v>244</v>
      </c>
      <c r="B84" s="7" t="s">
        <v>235</v>
      </c>
      <c r="C84" s="2">
        <v>0.0</v>
      </c>
    </row>
    <row r="85">
      <c r="A85" s="7" t="s">
        <v>589</v>
      </c>
      <c r="B85" s="7" t="s">
        <v>235</v>
      </c>
      <c r="C85" s="2">
        <v>0.0</v>
      </c>
    </row>
    <row r="86">
      <c r="A86" s="7" t="s">
        <v>591</v>
      </c>
      <c r="B86" s="7" t="s">
        <v>235</v>
      </c>
      <c r="C86" s="2">
        <v>0.0</v>
      </c>
    </row>
    <row r="87">
      <c r="A87" s="7" t="s">
        <v>593</v>
      </c>
      <c r="B87" s="7" t="s">
        <v>235</v>
      </c>
      <c r="C87" s="2">
        <v>0.0</v>
      </c>
    </row>
    <row r="88">
      <c r="A88" s="7" t="s">
        <v>595</v>
      </c>
      <c r="B88" s="7" t="s">
        <v>235</v>
      </c>
      <c r="C88" s="2">
        <v>0.0</v>
      </c>
    </row>
    <row r="89">
      <c r="A89" s="7" t="s">
        <v>597</v>
      </c>
      <c r="B89" s="7" t="s">
        <v>235</v>
      </c>
      <c r="C89" s="2">
        <v>0.0</v>
      </c>
    </row>
    <row r="90">
      <c r="A90" s="7" t="s">
        <v>599</v>
      </c>
      <c r="B90" s="7" t="s">
        <v>235</v>
      </c>
      <c r="C90" s="2">
        <v>0.0</v>
      </c>
    </row>
    <row r="91">
      <c r="A91" s="7" t="s">
        <v>495</v>
      </c>
      <c r="B91" s="7" t="s">
        <v>706</v>
      </c>
      <c r="C91" s="2">
        <v>0.0</v>
      </c>
    </row>
    <row r="92">
      <c r="A92" s="7" t="s">
        <v>501</v>
      </c>
      <c r="B92" s="7" t="s">
        <v>706</v>
      </c>
      <c r="C92" s="2">
        <v>0.0</v>
      </c>
    </row>
    <row r="93">
      <c r="A93" s="7" t="s">
        <v>503</v>
      </c>
      <c r="B93" s="7" t="s">
        <v>706</v>
      </c>
      <c r="C93" s="2">
        <v>0.0</v>
      </c>
    </row>
    <row r="94">
      <c r="A94" s="7" t="s">
        <v>497</v>
      </c>
      <c r="B94" s="7" t="s">
        <v>706</v>
      </c>
      <c r="C94" s="2">
        <v>0.0</v>
      </c>
    </row>
    <row r="95">
      <c r="A95" s="7" t="s">
        <v>499</v>
      </c>
      <c r="B95" s="7" t="s">
        <v>706</v>
      </c>
      <c r="C95" s="2">
        <v>0.0</v>
      </c>
    </row>
    <row r="96">
      <c r="A96" s="7" t="s">
        <v>616</v>
      </c>
      <c r="B96" s="7" t="s">
        <v>709</v>
      </c>
      <c r="C96" s="2">
        <v>0.0</v>
      </c>
    </row>
    <row r="97">
      <c r="A97" s="7" t="s">
        <v>620</v>
      </c>
      <c r="B97" s="7" t="s">
        <v>709</v>
      </c>
      <c r="C97" s="2">
        <v>0.0</v>
      </c>
    </row>
    <row r="98">
      <c r="A98" s="7" t="s">
        <v>622</v>
      </c>
      <c r="B98" s="7" t="s">
        <v>709</v>
      </c>
      <c r="C98" s="2">
        <v>0.0</v>
      </c>
    </row>
    <row r="99">
      <c r="A99" s="7" t="s">
        <v>624</v>
      </c>
      <c r="B99" s="7" t="s">
        <v>709</v>
      </c>
      <c r="C99" s="2">
        <v>0.0</v>
      </c>
    </row>
    <row r="100">
      <c r="A100" s="7" t="s">
        <v>618</v>
      </c>
      <c r="B100" s="7" t="s">
        <v>709</v>
      </c>
      <c r="C100" s="2">
        <v>0.0</v>
      </c>
    </row>
    <row r="101">
      <c r="A101" s="7" t="s">
        <v>134</v>
      </c>
      <c r="B101" s="7" t="s">
        <v>57</v>
      </c>
      <c r="C101" s="2">
        <v>0.0</v>
      </c>
    </row>
    <row r="102">
      <c r="A102" s="7" t="s">
        <v>137</v>
      </c>
      <c r="B102" s="7" t="s">
        <v>57</v>
      </c>
      <c r="C102" s="2">
        <v>0.0</v>
      </c>
    </row>
    <row r="103">
      <c r="A103" s="7" t="s">
        <v>140</v>
      </c>
      <c r="B103" s="7" t="s">
        <v>57</v>
      </c>
      <c r="C103" s="2">
        <v>0.0</v>
      </c>
    </row>
    <row r="104">
      <c r="A104" s="7" t="s">
        <v>247</v>
      </c>
      <c r="B104" s="7" t="s">
        <v>248</v>
      </c>
      <c r="C104" s="2">
        <v>0.0</v>
      </c>
    </row>
    <row r="105">
      <c r="A105" s="7" t="s">
        <v>253</v>
      </c>
      <c r="B105" s="7" t="s">
        <v>248</v>
      </c>
      <c r="C105" s="2">
        <v>0.0</v>
      </c>
    </row>
    <row r="106">
      <c r="A106" s="7" t="s">
        <v>636</v>
      </c>
      <c r="B106" s="7" t="s">
        <v>248</v>
      </c>
      <c r="C106" s="2">
        <v>0.0</v>
      </c>
    </row>
    <row r="107">
      <c r="A107" s="7" t="s">
        <v>711</v>
      </c>
      <c r="B107" s="7" t="s">
        <v>707</v>
      </c>
      <c r="C107" s="2">
        <v>0.0</v>
      </c>
    </row>
    <row r="108">
      <c r="A108" s="7" t="s">
        <v>712</v>
      </c>
      <c r="B108" s="7" t="s">
        <v>707</v>
      </c>
      <c r="C108" s="2">
        <v>0.0</v>
      </c>
    </row>
    <row r="109">
      <c r="A109" s="7" t="s">
        <v>713</v>
      </c>
      <c r="B109" s="7" t="s">
        <v>707</v>
      </c>
      <c r="C109" s="2">
        <v>0.0</v>
      </c>
    </row>
    <row r="110">
      <c r="A110" s="7" t="s">
        <v>714</v>
      </c>
      <c r="B110" s="7" t="s">
        <v>707</v>
      </c>
      <c r="C110" s="2">
        <v>0.0</v>
      </c>
    </row>
    <row r="111">
      <c r="A111" s="7" t="s">
        <v>715</v>
      </c>
      <c r="B111" s="7" t="s">
        <v>707</v>
      </c>
      <c r="C111" s="2">
        <v>0.0</v>
      </c>
    </row>
    <row r="112">
      <c r="A112" s="7" t="s">
        <v>653</v>
      </c>
      <c r="B112" s="7" t="s">
        <v>710</v>
      </c>
      <c r="C112" s="2">
        <v>0.0</v>
      </c>
    </row>
    <row r="113">
      <c r="A113" s="7" t="s">
        <v>655</v>
      </c>
      <c r="B113" s="7" t="s">
        <v>710</v>
      </c>
      <c r="C113" s="2">
        <v>0.0</v>
      </c>
    </row>
    <row r="114">
      <c r="A114" s="7" t="s">
        <v>657</v>
      </c>
      <c r="B114" s="7" t="s">
        <v>710</v>
      </c>
      <c r="C114" s="2">
        <v>0.0</v>
      </c>
    </row>
    <row r="115">
      <c r="A115" s="7" t="s">
        <v>659</v>
      </c>
      <c r="B115" s="7" t="s">
        <v>710</v>
      </c>
      <c r="C115" s="2">
        <v>0.0</v>
      </c>
    </row>
    <row r="116">
      <c r="A116" s="7" t="s">
        <v>661</v>
      </c>
      <c r="B116" s="7" t="s">
        <v>710</v>
      </c>
      <c r="C116" s="2">
        <v>0.0</v>
      </c>
    </row>
    <row r="117">
      <c r="A117" s="7" t="s">
        <v>116</v>
      </c>
      <c r="B117" s="7" t="s">
        <v>80</v>
      </c>
      <c r="C117" s="2">
        <v>0.0</v>
      </c>
    </row>
    <row r="118">
      <c r="A118" s="7" t="s">
        <v>143</v>
      </c>
      <c r="B118" s="7" t="s">
        <v>80</v>
      </c>
      <c r="C118" s="2">
        <v>0.0</v>
      </c>
    </row>
    <row r="119">
      <c r="A119" s="7" t="s">
        <v>146</v>
      </c>
      <c r="B119" s="7" t="s">
        <v>80</v>
      </c>
      <c r="C119" s="2">
        <v>0.0</v>
      </c>
    </row>
    <row r="120">
      <c r="A120" s="7" t="s">
        <v>149</v>
      </c>
      <c r="B120" s="7" t="s">
        <v>80</v>
      </c>
      <c r="C120" s="2">
        <v>0.0</v>
      </c>
    </row>
    <row r="121">
      <c r="A121" s="7" t="s">
        <v>152</v>
      </c>
      <c r="B121" s="7" t="s">
        <v>80</v>
      </c>
      <c r="C121" s="2">
        <v>0.0</v>
      </c>
    </row>
    <row r="122">
      <c r="A122" s="7" t="s">
        <v>155</v>
      </c>
      <c r="B122" s="7" t="s">
        <v>80</v>
      </c>
      <c r="C122" s="2">
        <v>0.0</v>
      </c>
    </row>
    <row r="123">
      <c r="A123" s="7" t="s">
        <v>716</v>
      </c>
      <c r="B123" s="7" t="s">
        <v>369</v>
      </c>
      <c r="C123" s="2">
        <v>0.0</v>
      </c>
    </row>
    <row r="124">
      <c r="A124" s="7" t="s">
        <v>717</v>
      </c>
      <c r="B124" s="7" t="s">
        <v>369</v>
      </c>
      <c r="C124" s="2">
        <v>0.0</v>
      </c>
    </row>
    <row r="125">
      <c r="A125" s="7" t="s">
        <v>718</v>
      </c>
      <c r="B125" s="7" t="s">
        <v>369</v>
      </c>
      <c r="C125" s="2">
        <v>0.0</v>
      </c>
    </row>
    <row r="126">
      <c r="A126" s="7" t="s">
        <v>719</v>
      </c>
      <c r="B126" s="7" t="s">
        <v>369</v>
      </c>
      <c r="C126" s="2">
        <v>0.0</v>
      </c>
    </row>
    <row r="127">
      <c r="A127" s="7" t="s">
        <v>720</v>
      </c>
      <c r="B127" s="7" t="s">
        <v>369</v>
      </c>
      <c r="C127" s="2">
        <v>0.0</v>
      </c>
    </row>
    <row r="128">
      <c r="A128" s="7" t="s">
        <v>721</v>
      </c>
      <c r="B128" s="7" t="s">
        <v>369</v>
      </c>
      <c r="C128" s="2">
        <v>0.0</v>
      </c>
    </row>
    <row r="129">
      <c r="A129" s="7" t="s">
        <v>722</v>
      </c>
      <c r="B129" s="7" t="s">
        <v>369</v>
      </c>
      <c r="C129" s="2">
        <v>0.0</v>
      </c>
    </row>
    <row r="130">
      <c r="A130" s="7" t="s">
        <v>723</v>
      </c>
      <c r="B130" s="7" t="s">
        <v>369</v>
      </c>
      <c r="C130" s="2">
        <v>0.0</v>
      </c>
    </row>
    <row r="131">
      <c r="A131" s="7" t="s">
        <v>724</v>
      </c>
      <c r="B131" s="7" t="s">
        <v>369</v>
      </c>
      <c r="C131" s="2">
        <v>0.0</v>
      </c>
    </row>
    <row r="132">
      <c r="A132" s="7" t="s">
        <v>725</v>
      </c>
      <c r="B132" s="7" t="s">
        <v>726</v>
      </c>
      <c r="C132" s="2">
        <v>0.0</v>
      </c>
    </row>
    <row r="133">
      <c r="A133" s="7" t="s">
        <v>727</v>
      </c>
      <c r="B133" s="7" t="s">
        <v>728</v>
      </c>
      <c r="C133" s="2">
        <v>0.0</v>
      </c>
    </row>
    <row r="134">
      <c r="A134" s="7" t="s">
        <v>729</v>
      </c>
      <c r="B134" s="7" t="s">
        <v>728</v>
      </c>
      <c r="C134" s="2">
        <v>0.0</v>
      </c>
    </row>
    <row r="135">
      <c r="A135" s="7" t="s">
        <v>730</v>
      </c>
      <c r="B135" s="7" t="s">
        <v>728</v>
      </c>
      <c r="C135" s="2">
        <v>0.0</v>
      </c>
    </row>
    <row r="136">
      <c r="A136" s="7" t="s">
        <v>731</v>
      </c>
      <c r="B136" s="7" t="s">
        <v>732</v>
      </c>
      <c r="C136" s="2">
        <v>0.0</v>
      </c>
    </row>
    <row r="137">
      <c r="A137" s="7" t="s">
        <v>98</v>
      </c>
      <c r="B137" s="7" t="s">
        <v>732</v>
      </c>
      <c r="C137" s="2">
        <v>0.0</v>
      </c>
    </row>
    <row r="138">
      <c r="A138" s="7" t="s">
        <v>101</v>
      </c>
      <c r="B138" s="7" t="s">
        <v>732</v>
      </c>
      <c r="C138" s="2">
        <v>0.0</v>
      </c>
    </row>
    <row r="139">
      <c r="A139" s="7" t="s">
        <v>733</v>
      </c>
      <c r="B139" s="7" t="s">
        <v>235</v>
      </c>
      <c r="C139" s="2">
        <v>0.0</v>
      </c>
    </row>
    <row r="140">
      <c r="A140" s="7" t="s">
        <v>734</v>
      </c>
      <c r="B140" s="7" t="s">
        <v>735</v>
      </c>
      <c r="C140" s="2">
        <v>0.0</v>
      </c>
    </row>
    <row r="141">
      <c r="A141" s="7" t="s">
        <v>736</v>
      </c>
      <c r="B141" s="7" t="s">
        <v>735</v>
      </c>
      <c r="C141" s="2">
        <v>0.0</v>
      </c>
    </row>
    <row r="142">
      <c r="A142" s="7" t="s">
        <v>737</v>
      </c>
      <c r="B142" s="7" t="s">
        <v>735</v>
      </c>
      <c r="C142" s="2">
        <v>0.0</v>
      </c>
    </row>
    <row r="143">
      <c r="A143" s="7" t="s">
        <v>738</v>
      </c>
      <c r="B143" s="7" t="s">
        <v>735</v>
      </c>
      <c r="C143" s="2">
        <v>0.0</v>
      </c>
    </row>
    <row r="144">
      <c r="A144" s="7" t="s">
        <v>739</v>
      </c>
      <c r="B144" s="7" t="s">
        <v>735</v>
      </c>
      <c r="C144" s="2">
        <v>0.0</v>
      </c>
    </row>
    <row r="145">
      <c r="A145" s="7" t="s">
        <v>740</v>
      </c>
      <c r="B145" s="7" t="s">
        <v>741</v>
      </c>
      <c r="C145" s="2">
        <v>0.0</v>
      </c>
    </row>
    <row r="146">
      <c r="A146" s="7" t="s">
        <v>742</v>
      </c>
      <c r="B146" s="7" t="s">
        <v>741</v>
      </c>
      <c r="C146" s="2">
        <v>0.0</v>
      </c>
    </row>
    <row r="147">
      <c r="A147" s="7" t="s">
        <v>743</v>
      </c>
      <c r="B147" s="7" t="s">
        <v>744</v>
      </c>
      <c r="C147" s="2">
        <v>0.0</v>
      </c>
    </row>
    <row r="148">
      <c r="A148" s="7" t="s">
        <v>745</v>
      </c>
      <c r="B148" s="7" t="s">
        <v>744</v>
      </c>
      <c r="C148" s="2">
        <v>0.0</v>
      </c>
    </row>
    <row r="149">
      <c r="A149" s="7" t="s">
        <v>746</v>
      </c>
      <c r="B149" s="7" t="s">
        <v>744</v>
      </c>
      <c r="C149" s="2">
        <v>0.0</v>
      </c>
    </row>
    <row r="150">
      <c r="A150" s="7" t="s">
        <v>747</v>
      </c>
      <c r="B150" s="7" t="s">
        <v>744</v>
      </c>
      <c r="C150" s="2">
        <v>0.0</v>
      </c>
    </row>
    <row r="151">
      <c r="A151" s="7" t="s">
        <v>748</v>
      </c>
      <c r="B151" s="7" t="s">
        <v>744</v>
      </c>
      <c r="C151" s="2">
        <v>0.0</v>
      </c>
    </row>
    <row r="152">
      <c r="A152" s="7" t="s">
        <v>749</v>
      </c>
      <c r="B152" s="7" t="s">
        <v>744</v>
      </c>
      <c r="C152" s="2">
        <v>0.0</v>
      </c>
    </row>
    <row r="153">
      <c r="A153" s="7" t="s">
        <v>750</v>
      </c>
      <c r="B153" s="7" t="s">
        <v>744</v>
      </c>
      <c r="C153" s="2">
        <v>0.0</v>
      </c>
    </row>
    <row r="154">
      <c r="A154" s="7" t="s">
        <v>407</v>
      </c>
      <c r="B154" s="7" t="s">
        <v>235</v>
      </c>
      <c r="C154" s="2">
        <v>1.0</v>
      </c>
    </row>
    <row r="155">
      <c r="A155" s="7" t="s">
        <v>410</v>
      </c>
      <c r="B155" s="7" t="s">
        <v>235</v>
      </c>
      <c r="C155" s="2">
        <v>1.0</v>
      </c>
    </row>
    <row r="156">
      <c r="A156" s="7" t="s">
        <v>413</v>
      </c>
      <c r="B156" s="7" t="s">
        <v>235</v>
      </c>
      <c r="C156" s="2">
        <v>1.0</v>
      </c>
    </row>
    <row r="157">
      <c r="A157" s="7" t="s">
        <v>416</v>
      </c>
      <c r="B157" s="7" t="s">
        <v>235</v>
      </c>
      <c r="C157" s="2">
        <v>1.0</v>
      </c>
    </row>
    <row r="158">
      <c r="A158" s="7" t="s">
        <v>419</v>
      </c>
      <c r="B158" s="7" t="s">
        <v>235</v>
      </c>
      <c r="C158" s="2">
        <v>1.0</v>
      </c>
    </row>
    <row r="159">
      <c r="A159" s="7" t="s">
        <v>422</v>
      </c>
      <c r="B159" s="7" t="s">
        <v>235</v>
      </c>
      <c r="C159" s="2">
        <v>1.0</v>
      </c>
    </row>
    <row r="160">
      <c r="A160" s="7" t="s">
        <v>425</v>
      </c>
      <c r="B160" s="7" t="s">
        <v>235</v>
      </c>
      <c r="C160" s="2">
        <v>1.0</v>
      </c>
    </row>
    <row r="161">
      <c r="A161" s="7" t="s">
        <v>428</v>
      </c>
      <c r="B161" s="7" t="s">
        <v>235</v>
      </c>
      <c r="C161" s="2">
        <v>1.0</v>
      </c>
    </row>
    <row r="162">
      <c r="A162" s="7" t="s">
        <v>431</v>
      </c>
      <c r="B162" s="7" t="s">
        <v>235</v>
      </c>
      <c r="C162" s="2">
        <v>1.0</v>
      </c>
    </row>
    <row r="163">
      <c r="A163" s="7" t="s">
        <v>56</v>
      </c>
      <c r="B163" s="7" t="s">
        <v>57</v>
      </c>
      <c r="C163" s="2">
        <v>1.0</v>
      </c>
    </row>
    <row r="164">
      <c r="A164" s="7" t="s">
        <v>63</v>
      </c>
      <c r="B164" s="7" t="s">
        <v>57</v>
      </c>
      <c r="C164" s="2">
        <v>1.0</v>
      </c>
    </row>
    <row r="165">
      <c r="A165" s="7" t="s">
        <v>66</v>
      </c>
      <c r="B165" s="7" t="s">
        <v>57</v>
      </c>
      <c r="C165" s="2">
        <v>1.0</v>
      </c>
    </row>
    <row r="166">
      <c r="A166" s="7" t="s">
        <v>69</v>
      </c>
      <c r="B166" s="7" t="s">
        <v>57</v>
      </c>
      <c r="C166" s="2">
        <v>1.0</v>
      </c>
    </row>
    <row r="167">
      <c r="A167" s="7" t="s">
        <v>72</v>
      </c>
      <c r="B167" s="7" t="s">
        <v>57</v>
      </c>
      <c r="C167" s="2">
        <v>1.0</v>
      </c>
    </row>
    <row r="168">
      <c r="A168" s="7" t="s">
        <v>75</v>
      </c>
      <c r="B168" s="7" t="s">
        <v>57</v>
      </c>
      <c r="C168" s="2">
        <v>1.0</v>
      </c>
    </row>
    <row r="169">
      <c r="A169" s="7" t="s">
        <v>308</v>
      </c>
      <c r="B169" s="7" t="s">
        <v>248</v>
      </c>
      <c r="C169" s="2">
        <v>1.0</v>
      </c>
    </row>
    <row r="170">
      <c r="A170" s="7" t="s">
        <v>341</v>
      </c>
      <c r="B170" s="7" t="s">
        <v>248</v>
      </c>
      <c r="C170" s="2">
        <v>1.0</v>
      </c>
    </row>
    <row r="171">
      <c r="A171" s="7" t="s">
        <v>344</v>
      </c>
      <c r="B171" s="7" t="s">
        <v>248</v>
      </c>
      <c r="C171" s="2">
        <v>1.0</v>
      </c>
    </row>
    <row r="172">
      <c r="A172" s="7" t="s">
        <v>347</v>
      </c>
      <c r="B172" s="7" t="s">
        <v>248</v>
      </c>
      <c r="C172" s="2">
        <v>1.0</v>
      </c>
    </row>
    <row r="173">
      <c r="A173" s="7" t="s">
        <v>350</v>
      </c>
      <c r="B173" s="7" t="s">
        <v>248</v>
      </c>
      <c r="C173" s="2">
        <v>1.0</v>
      </c>
    </row>
    <row r="174">
      <c r="A174" s="7" t="s">
        <v>353</v>
      </c>
      <c r="B174" s="7" t="s">
        <v>248</v>
      </c>
      <c r="C174" s="2">
        <v>1.0</v>
      </c>
    </row>
    <row r="175">
      <c r="A175" s="7" t="s">
        <v>356</v>
      </c>
      <c r="B175" s="7" t="s">
        <v>248</v>
      </c>
      <c r="C175" s="2">
        <v>1.0</v>
      </c>
    </row>
    <row r="176">
      <c r="A176" s="7" t="s">
        <v>359</v>
      </c>
      <c r="B176" s="7" t="s">
        <v>248</v>
      </c>
      <c r="C176" s="2">
        <v>1.0</v>
      </c>
    </row>
    <row r="177">
      <c r="A177" s="7" t="s">
        <v>362</v>
      </c>
      <c r="B177" s="7" t="s">
        <v>248</v>
      </c>
      <c r="C177" s="2">
        <v>1.0</v>
      </c>
    </row>
    <row r="178">
      <c r="A178" s="7" t="s">
        <v>365</v>
      </c>
      <c r="B178" s="7" t="s">
        <v>248</v>
      </c>
      <c r="C178" s="2">
        <v>1.0</v>
      </c>
    </row>
    <row r="179">
      <c r="A179" s="7" t="s">
        <v>79</v>
      </c>
      <c r="B179" s="7" t="s">
        <v>80</v>
      </c>
      <c r="C179" s="2">
        <v>1.0</v>
      </c>
    </row>
    <row r="180">
      <c r="A180" s="7" t="s">
        <v>86</v>
      </c>
      <c r="B180" s="7" t="s">
        <v>80</v>
      </c>
      <c r="C180" s="2">
        <v>1.0</v>
      </c>
    </row>
    <row r="181">
      <c r="A181" s="7" t="s">
        <v>751</v>
      </c>
      <c r="B181" s="7" t="s">
        <v>80</v>
      </c>
      <c r="C181" s="2">
        <v>1.0</v>
      </c>
    </row>
    <row r="182">
      <c r="A182" s="7" t="s">
        <v>89</v>
      </c>
      <c r="B182" s="7" t="s">
        <v>80</v>
      </c>
      <c r="C182" s="2">
        <v>1.0</v>
      </c>
    </row>
    <row r="183">
      <c r="A183" s="7" t="s">
        <v>368</v>
      </c>
      <c r="B183" s="7" t="s">
        <v>369</v>
      </c>
      <c r="C183" s="2">
        <v>1.0</v>
      </c>
    </row>
    <row r="184">
      <c r="A184" s="7" t="s">
        <v>374</v>
      </c>
      <c r="B184" s="7" t="s">
        <v>369</v>
      </c>
      <c r="C184" s="2">
        <v>1.0</v>
      </c>
    </row>
    <row r="185">
      <c r="A185" s="7" t="s">
        <v>377</v>
      </c>
      <c r="B185" s="7" t="s">
        <v>369</v>
      </c>
      <c r="C185" s="2">
        <v>1.0</v>
      </c>
    </row>
    <row r="186">
      <c r="A186" s="7" t="s">
        <v>380</v>
      </c>
      <c r="B186" s="7" t="s">
        <v>369</v>
      </c>
      <c r="C186" s="2">
        <v>1.0</v>
      </c>
    </row>
    <row r="187">
      <c r="A187" s="7" t="s">
        <v>383</v>
      </c>
      <c r="B187" s="7" t="s">
        <v>369</v>
      </c>
      <c r="C187" s="2">
        <v>1.0</v>
      </c>
    </row>
    <row r="188">
      <c r="A188" s="7" t="s">
        <v>386</v>
      </c>
      <c r="B188" s="7" t="s">
        <v>369</v>
      </c>
      <c r="C188" s="2">
        <v>1.0</v>
      </c>
    </row>
    <row r="189">
      <c r="A189" s="7" t="s">
        <v>389</v>
      </c>
      <c r="B189" s="7" t="s">
        <v>369</v>
      </c>
      <c r="C189" s="2">
        <v>1.0</v>
      </c>
    </row>
    <row r="190">
      <c r="A190" s="7" t="s">
        <v>392</v>
      </c>
      <c r="B190" s="7" t="s">
        <v>369</v>
      </c>
      <c r="C190" s="2">
        <v>1.0</v>
      </c>
    </row>
    <row r="191">
      <c r="A191" s="7" t="s">
        <v>395</v>
      </c>
      <c r="B191" s="7" t="s">
        <v>369</v>
      </c>
      <c r="C191" s="2">
        <v>1.0</v>
      </c>
    </row>
    <row r="192">
      <c r="A192" s="7" t="s">
        <v>398</v>
      </c>
      <c r="B192" s="7" t="s">
        <v>369</v>
      </c>
      <c r="C192" s="2">
        <v>1.0</v>
      </c>
    </row>
    <row r="193">
      <c r="A193" s="7" t="s">
        <v>401</v>
      </c>
      <c r="B193" s="7" t="s">
        <v>369</v>
      </c>
      <c r="C193" s="2">
        <v>1.0</v>
      </c>
    </row>
    <row r="194">
      <c r="A194" s="7" t="s">
        <v>404</v>
      </c>
      <c r="B194" s="7" t="s">
        <v>369</v>
      </c>
      <c r="C194" s="2">
        <v>1.0</v>
      </c>
    </row>
    <row r="195">
      <c r="A195" s="7" t="s">
        <v>752</v>
      </c>
      <c r="B195" s="7" t="s">
        <v>369</v>
      </c>
      <c r="C195" s="2">
        <v>1.0</v>
      </c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