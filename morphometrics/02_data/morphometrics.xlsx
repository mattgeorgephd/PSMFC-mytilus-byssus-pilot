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morphometrics\02_data\"/>
    </mc:Choice>
  </mc:AlternateContent>
  <xr:revisionPtr revIDLastSave="0" documentId="13_ncr:1_{16E8C731-F4C8-4088-B85A-1B51AE9C4E0A}" xr6:coauthVersionLast="47" xr6:coauthVersionMax="47" xr10:uidLastSave="{00000000-0000-0000-0000-000000000000}"/>
  <bookViews>
    <workbookView xWindow="-120" yWindow="-120" windowWidth="29040" windowHeight="15720" activeTab="1" xr2:uid="{304823C0-04AF-47DA-8C98-4C863644367A}"/>
  </bookViews>
  <sheets>
    <sheet name="key" sheetId="4" r:id="rId1"/>
    <sheet name="tissue-for-RNA" sheetId="9" r:id="rId2"/>
    <sheet name="rna_isolation_info" sheetId="10" r:id="rId3"/>
    <sheet name="condition" sheetId="6" r:id="rId4"/>
    <sheet name="paired-thread_count" sheetId="8" r:id="rId5"/>
  </sheets>
  <definedNames>
    <definedName name="_xlnm._FilterDatabase" localSheetId="0" hidden="1">key!$A$1:$Q$195</definedName>
    <definedName name="_xlnm._FilterDatabase" localSheetId="4" hidden="1">'paired-thread_count'!$A$1:$F$101</definedName>
    <definedName name="_xlnm._FilterDatabase" localSheetId="1" hidden="1">'tissue-for-RNA'!$A$1:$F$137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2" i="4" l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2" i="10"/>
  <c r="M133" i="10"/>
  <c r="L133" i="10"/>
  <c r="K133" i="10"/>
  <c r="M132" i="10"/>
  <c r="L132" i="10"/>
  <c r="K132" i="10"/>
  <c r="M131" i="10"/>
  <c r="L131" i="10"/>
  <c r="K131" i="10"/>
  <c r="M130" i="10"/>
  <c r="L130" i="10"/>
  <c r="K130" i="10"/>
  <c r="M129" i="10"/>
  <c r="L129" i="10"/>
  <c r="K129" i="10"/>
  <c r="M128" i="10"/>
  <c r="L128" i="10"/>
  <c r="K128" i="10"/>
  <c r="M127" i="10"/>
  <c r="L127" i="10"/>
  <c r="K127" i="10"/>
  <c r="M126" i="10"/>
  <c r="L126" i="10"/>
  <c r="K126" i="10"/>
  <c r="M125" i="10"/>
  <c r="L125" i="10"/>
  <c r="K125" i="10"/>
  <c r="M124" i="10"/>
  <c r="L124" i="10"/>
  <c r="K124" i="10"/>
  <c r="M123" i="10"/>
  <c r="L123" i="10"/>
  <c r="K123" i="10"/>
  <c r="M122" i="10"/>
  <c r="L122" i="10"/>
  <c r="K122" i="10"/>
  <c r="M121" i="10"/>
  <c r="L121" i="10"/>
  <c r="K121" i="10"/>
  <c r="M120" i="10"/>
  <c r="L120" i="10"/>
  <c r="K120" i="10"/>
  <c r="M119" i="10"/>
  <c r="L119" i="10"/>
  <c r="K119" i="10"/>
  <c r="M118" i="10"/>
  <c r="L118" i="10"/>
  <c r="K118" i="10"/>
  <c r="M117" i="10"/>
  <c r="L117" i="10"/>
  <c r="K117" i="10"/>
  <c r="M116" i="10"/>
  <c r="L116" i="10"/>
  <c r="K116" i="10"/>
  <c r="M115" i="10"/>
  <c r="L115" i="10"/>
  <c r="K115" i="10"/>
  <c r="M114" i="10"/>
  <c r="L114" i="10"/>
  <c r="K114" i="10"/>
  <c r="M113" i="10"/>
  <c r="L113" i="10"/>
  <c r="K113" i="10"/>
  <c r="M112" i="10"/>
  <c r="L112" i="10"/>
  <c r="K112" i="10"/>
  <c r="M111" i="10"/>
  <c r="L111" i="10"/>
  <c r="K111" i="10"/>
  <c r="M110" i="10"/>
  <c r="L110" i="10"/>
  <c r="K110" i="10"/>
  <c r="M109" i="10"/>
  <c r="L109" i="10"/>
  <c r="K109" i="10"/>
  <c r="M108" i="10"/>
  <c r="L108" i="10"/>
  <c r="K108" i="10"/>
  <c r="M107" i="10"/>
  <c r="L107" i="10"/>
  <c r="K107" i="10"/>
  <c r="M106" i="10"/>
  <c r="L106" i="10"/>
  <c r="K106" i="10"/>
  <c r="M105" i="10"/>
  <c r="L105" i="10"/>
  <c r="K105" i="10"/>
  <c r="M104" i="10"/>
  <c r="L104" i="10"/>
  <c r="K104" i="10"/>
  <c r="M103" i="10"/>
  <c r="L103" i="10"/>
  <c r="K103" i="10"/>
  <c r="M102" i="10"/>
  <c r="L102" i="10"/>
  <c r="K102" i="10"/>
  <c r="M101" i="10"/>
  <c r="L101" i="10"/>
  <c r="K101" i="10"/>
  <c r="M100" i="10"/>
  <c r="L100" i="10"/>
  <c r="K100" i="10"/>
  <c r="M99" i="10"/>
  <c r="L99" i="10"/>
  <c r="K99" i="10"/>
  <c r="M98" i="10"/>
  <c r="L98" i="10"/>
  <c r="K98" i="10"/>
  <c r="M97" i="10"/>
  <c r="L97" i="10"/>
  <c r="K97" i="10"/>
  <c r="M96" i="10"/>
  <c r="L96" i="10"/>
  <c r="K96" i="10"/>
  <c r="M95" i="10"/>
  <c r="L95" i="10"/>
  <c r="K95" i="10"/>
  <c r="M94" i="10"/>
  <c r="L94" i="10"/>
  <c r="K94" i="10"/>
  <c r="M93" i="10"/>
  <c r="L93" i="10"/>
  <c r="K93" i="10"/>
  <c r="M92" i="10"/>
  <c r="L92" i="10"/>
  <c r="K92" i="10"/>
  <c r="M91" i="10"/>
  <c r="L91" i="10"/>
  <c r="K91" i="10"/>
  <c r="M90" i="10"/>
  <c r="L90" i="10"/>
  <c r="K90" i="10"/>
  <c r="M89" i="10"/>
  <c r="L89" i="10"/>
  <c r="K89" i="10"/>
  <c r="M88" i="10"/>
  <c r="L88" i="10"/>
  <c r="K88" i="10"/>
  <c r="M87" i="10"/>
  <c r="L87" i="10"/>
  <c r="K87" i="10"/>
  <c r="M86" i="10"/>
  <c r="L86" i="10"/>
  <c r="K86" i="10"/>
  <c r="M85" i="10"/>
  <c r="L85" i="10"/>
  <c r="K85" i="10"/>
  <c r="M84" i="10"/>
  <c r="L84" i="10"/>
  <c r="K84" i="10"/>
  <c r="M83" i="10"/>
  <c r="L83" i="10"/>
  <c r="K83" i="10"/>
  <c r="M82" i="10"/>
  <c r="L82" i="10"/>
  <c r="K82" i="10"/>
  <c r="M81" i="10"/>
  <c r="L81" i="10"/>
  <c r="K81" i="10"/>
  <c r="M80" i="10"/>
  <c r="L80" i="10"/>
  <c r="K80" i="10"/>
  <c r="M79" i="10"/>
  <c r="L79" i="10"/>
  <c r="K79" i="10"/>
  <c r="M78" i="10"/>
  <c r="L78" i="10"/>
  <c r="K78" i="10"/>
  <c r="M77" i="10"/>
  <c r="L77" i="10"/>
  <c r="K77" i="10"/>
  <c r="M76" i="10"/>
  <c r="L76" i="10"/>
  <c r="K76" i="10"/>
  <c r="M75" i="10"/>
  <c r="L75" i="10"/>
  <c r="K75" i="10"/>
  <c r="M74" i="10"/>
  <c r="L74" i="10"/>
  <c r="K74" i="10"/>
  <c r="M73" i="10"/>
  <c r="L73" i="10"/>
  <c r="K73" i="10"/>
  <c r="M72" i="10"/>
  <c r="L72" i="10"/>
  <c r="K72" i="10"/>
  <c r="M71" i="10"/>
  <c r="L71" i="10"/>
  <c r="K71" i="10"/>
  <c r="M70" i="10"/>
  <c r="L70" i="10"/>
  <c r="K70" i="10"/>
  <c r="M69" i="10"/>
  <c r="L69" i="10"/>
  <c r="K69" i="10"/>
  <c r="M68" i="10"/>
  <c r="L68" i="10"/>
  <c r="K68" i="10"/>
  <c r="M67" i="10"/>
  <c r="L67" i="10"/>
  <c r="K67" i="10"/>
  <c r="M66" i="10"/>
  <c r="L66" i="10"/>
  <c r="K66" i="10"/>
  <c r="M65" i="10"/>
  <c r="L65" i="10"/>
  <c r="K65" i="10"/>
  <c r="M64" i="10"/>
  <c r="L64" i="10"/>
  <c r="K64" i="10"/>
  <c r="M63" i="10"/>
  <c r="L63" i="10"/>
  <c r="K63" i="10"/>
  <c r="M62" i="10"/>
  <c r="L62" i="10"/>
  <c r="K62" i="10"/>
  <c r="M61" i="10"/>
  <c r="L61" i="10"/>
  <c r="K61" i="10"/>
  <c r="M60" i="10"/>
  <c r="L60" i="10"/>
  <c r="K60" i="10"/>
  <c r="M59" i="10"/>
  <c r="L59" i="10"/>
  <c r="K59" i="10"/>
  <c r="M58" i="10"/>
  <c r="L58" i="10"/>
  <c r="K58" i="10"/>
  <c r="M57" i="10"/>
  <c r="L57" i="10"/>
  <c r="K57" i="10"/>
  <c r="M56" i="10"/>
  <c r="L56" i="10"/>
  <c r="K56" i="10"/>
  <c r="M55" i="10"/>
  <c r="L55" i="10"/>
  <c r="K55" i="10"/>
  <c r="M54" i="10"/>
  <c r="L54" i="10"/>
  <c r="K54" i="10"/>
  <c r="M53" i="10"/>
  <c r="L53" i="10"/>
  <c r="K53" i="10"/>
  <c r="M52" i="10"/>
  <c r="L52" i="10"/>
  <c r="K52" i="10"/>
  <c r="M51" i="10"/>
  <c r="L51" i="10"/>
  <c r="K51" i="10"/>
  <c r="M50" i="10"/>
  <c r="L50" i="10"/>
  <c r="K50" i="10"/>
  <c r="M49" i="10"/>
  <c r="L49" i="10"/>
  <c r="K49" i="10"/>
  <c r="M48" i="10"/>
  <c r="L48" i="10"/>
  <c r="K48" i="10"/>
  <c r="M47" i="10"/>
  <c r="L47" i="10"/>
  <c r="K47" i="10"/>
  <c r="M46" i="10"/>
  <c r="L46" i="10"/>
  <c r="K46" i="10"/>
  <c r="M45" i="10"/>
  <c r="L45" i="10"/>
  <c r="K45" i="10"/>
  <c r="M44" i="10"/>
  <c r="L44" i="10"/>
  <c r="K44" i="10"/>
  <c r="M43" i="10"/>
  <c r="L43" i="10"/>
  <c r="K43" i="10"/>
  <c r="M42" i="10"/>
  <c r="L42" i="10"/>
  <c r="K42" i="10"/>
  <c r="M41" i="10"/>
  <c r="L41" i="10"/>
  <c r="K41" i="10"/>
  <c r="M40" i="10"/>
  <c r="L40" i="10"/>
  <c r="K40" i="10"/>
  <c r="M39" i="10"/>
  <c r="L39" i="10"/>
  <c r="K39" i="10"/>
  <c r="M38" i="10"/>
  <c r="L38" i="10"/>
  <c r="K38" i="10"/>
  <c r="M37" i="10"/>
  <c r="L37" i="10"/>
  <c r="K37" i="10"/>
  <c r="M36" i="10"/>
  <c r="L36" i="10"/>
  <c r="K36" i="10"/>
  <c r="M35" i="10"/>
  <c r="L35" i="10"/>
  <c r="K35" i="10"/>
  <c r="M34" i="10"/>
  <c r="L34" i="10"/>
  <c r="K34" i="10"/>
  <c r="M33" i="10"/>
  <c r="L33" i="10"/>
  <c r="K33" i="10"/>
  <c r="M32" i="10"/>
  <c r="L32" i="10"/>
  <c r="K32" i="10"/>
  <c r="M31" i="10"/>
  <c r="L31" i="10"/>
  <c r="K31" i="10"/>
  <c r="M30" i="10"/>
  <c r="L30" i="10"/>
  <c r="K30" i="10"/>
  <c r="M29" i="10"/>
  <c r="L29" i="10"/>
  <c r="K29" i="10"/>
  <c r="M28" i="10"/>
  <c r="L28" i="10"/>
  <c r="K28" i="10"/>
  <c r="M27" i="10"/>
  <c r="L27" i="10"/>
  <c r="K27" i="10"/>
  <c r="M26" i="10"/>
  <c r="L26" i="10"/>
  <c r="K26" i="10"/>
  <c r="M25" i="10"/>
  <c r="L25" i="10"/>
  <c r="K25" i="10"/>
  <c r="M24" i="10"/>
  <c r="L24" i="10"/>
  <c r="K24" i="10"/>
  <c r="M23" i="10"/>
  <c r="L23" i="10"/>
  <c r="K23" i="10"/>
  <c r="M22" i="10"/>
  <c r="L22" i="10"/>
  <c r="K22" i="10"/>
  <c r="M21" i="10"/>
  <c r="L21" i="10"/>
  <c r="K21" i="10"/>
  <c r="M20" i="10"/>
  <c r="L20" i="10"/>
  <c r="K20" i="10"/>
  <c r="M19" i="10"/>
  <c r="L19" i="10"/>
  <c r="K19" i="10"/>
  <c r="M18" i="10"/>
  <c r="L18" i="10"/>
  <c r="K18" i="10"/>
  <c r="M17" i="10"/>
  <c r="L17" i="10"/>
  <c r="K17" i="10"/>
  <c r="M16" i="10"/>
  <c r="L16" i="10"/>
  <c r="K16" i="10"/>
  <c r="M15" i="10"/>
  <c r="L15" i="10"/>
  <c r="K15" i="10"/>
  <c r="M14" i="10"/>
  <c r="L14" i="10"/>
  <c r="K14" i="10"/>
  <c r="M13" i="10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K7" i="10"/>
  <c r="M6" i="10"/>
  <c r="L6" i="10"/>
  <c r="K6" i="10"/>
  <c r="M5" i="10"/>
  <c r="L5" i="10"/>
  <c r="K5" i="10"/>
  <c r="M4" i="10"/>
  <c r="L4" i="10"/>
  <c r="K4" i="10"/>
  <c r="M3" i="10"/>
  <c r="L3" i="10"/>
  <c r="K3" i="10"/>
  <c r="M2" i="10"/>
  <c r="L2" i="10"/>
  <c r="K2" i="10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C2" i="9"/>
  <c r="B2" i="9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2" i="4"/>
  <c r="E32" i="8"/>
  <c r="E16" i="8"/>
  <c r="E86" i="8"/>
  <c r="E88" i="8"/>
  <c r="E90" i="8"/>
  <c r="E92" i="8"/>
  <c r="E94" i="8"/>
  <c r="E96" i="8"/>
  <c r="E98" i="8"/>
  <c r="E100" i="8"/>
  <c r="E2" i="8"/>
  <c r="E4" i="8"/>
  <c r="E6" i="8"/>
  <c r="E8" i="8"/>
  <c r="E10" i="8"/>
  <c r="E12" i="8"/>
  <c r="E38" i="8"/>
  <c r="E40" i="8"/>
  <c r="E42" i="8"/>
  <c r="E44" i="8"/>
  <c r="E46" i="8"/>
  <c r="E48" i="8"/>
  <c r="E50" i="8"/>
  <c r="E52" i="8"/>
  <c r="E54" i="8"/>
  <c r="E56" i="8"/>
  <c r="E19" i="8"/>
  <c r="E22" i="8"/>
  <c r="E36" i="8"/>
  <c r="E30" i="8"/>
  <c r="E18" i="8"/>
  <c r="E20" i="8"/>
  <c r="E28" i="8"/>
  <c r="E34" i="8"/>
  <c r="E17" i="8"/>
  <c r="E24" i="8"/>
  <c r="E26" i="8"/>
  <c r="E58" i="8"/>
  <c r="E60" i="8"/>
  <c r="E62" i="8"/>
  <c r="E64" i="8"/>
  <c r="E66" i="8"/>
  <c r="E68" i="8"/>
  <c r="E70" i="8"/>
  <c r="E72" i="8"/>
  <c r="E74" i="8"/>
  <c r="E76" i="8"/>
  <c r="E78" i="8"/>
  <c r="E80" i="8"/>
  <c r="E82" i="8"/>
  <c r="E85" i="8"/>
  <c r="E87" i="8"/>
  <c r="E89" i="8"/>
  <c r="E91" i="8"/>
  <c r="E93" i="8"/>
  <c r="E95" i="8"/>
  <c r="E97" i="8"/>
  <c r="E99" i="8"/>
  <c r="E101" i="8"/>
  <c r="E3" i="8"/>
  <c r="E5" i="8"/>
  <c r="E7" i="8"/>
  <c r="E9" i="8"/>
  <c r="E11" i="8"/>
  <c r="E13" i="8"/>
  <c r="E39" i="8"/>
  <c r="E41" i="8"/>
  <c r="E43" i="8"/>
  <c r="E45" i="8"/>
  <c r="E47" i="8"/>
  <c r="E49" i="8"/>
  <c r="E51" i="8"/>
  <c r="E53" i="8"/>
  <c r="E55" i="8"/>
  <c r="E57" i="8"/>
  <c r="E14" i="8"/>
  <c r="E25" i="8"/>
  <c r="E37" i="8"/>
  <c r="E33" i="8"/>
  <c r="E23" i="8"/>
  <c r="E29" i="8"/>
  <c r="E31" i="8"/>
  <c r="E15" i="8"/>
  <c r="E21" i="8"/>
  <c r="E27" i="8"/>
  <c r="E35" i="8"/>
  <c r="E59" i="8"/>
  <c r="E61" i="8"/>
  <c r="E63" i="8"/>
  <c r="E65" i="8"/>
  <c r="E67" i="8"/>
  <c r="E69" i="8"/>
  <c r="E71" i="8"/>
  <c r="E73" i="8"/>
  <c r="E75" i="8"/>
  <c r="E77" i="8"/>
  <c r="E79" i="8"/>
  <c r="E81" i="8"/>
  <c r="E83" i="8"/>
  <c r="E84" i="8"/>
  <c r="N3" i="4" l="1"/>
  <c r="N4" i="4"/>
  <c r="N5" i="4"/>
  <c r="N6" i="4"/>
  <c r="N7" i="4"/>
  <c r="N8" i="4"/>
  <c r="N9" i="4"/>
  <c r="N10" i="4"/>
  <c r="N11" i="4"/>
  <c r="N12" i="4"/>
  <c r="N13" i="4"/>
  <c r="N163" i="4"/>
  <c r="N164" i="4"/>
  <c r="N165" i="4"/>
  <c r="N166" i="4"/>
  <c r="N167" i="4"/>
  <c r="N168" i="4"/>
  <c r="N132" i="4"/>
  <c r="N133" i="4"/>
  <c r="N179" i="4"/>
  <c r="N134" i="4"/>
  <c r="N135" i="4"/>
  <c r="N180" i="4"/>
  <c r="N181" i="4"/>
  <c r="N182" i="4"/>
  <c r="N136" i="4"/>
  <c r="N72" i="4"/>
  <c r="N137" i="4"/>
  <c r="N138" i="4"/>
  <c r="N73" i="4"/>
  <c r="N74" i="4"/>
  <c r="N75" i="4"/>
  <c r="N76" i="4"/>
  <c r="N91" i="4"/>
  <c r="N92" i="4"/>
  <c r="N93" i="4"/>
  <c r="N94" i="4"/>
  <c r="N95" i="4"/>
  <c r="N107" i="4"/>
  <c r="N108" i="4"/>
  <c r="N109" i="4"/>
  <c r="N110" i="4"/>
  <c r="N111" i="4"/>
  <c r="N62" i="4"/>
  <c r="N63" i="4"/>
  <c r="N64" i="4"/>
  <c r="N65" i="4"/>
  <c r="N66" i="4"/>
  <c r="N117" i="4"/>
  <c r="N77" i="4"/>
  <c r="N78" i="4"/>
  <c r="N79" i="4"/>
  <c r="N80" i="4"/>
  <c r="N81" i="4"/>
  <c r="N101" i="4"/>
  <c r="N102" i="4"/>
  <c r="N103" i="4"/>
  <c r="N118" i="4"/>
  <c r="N119" i="4"/>
  <c r="N120" i="4"/>
  <c r="N121" i="4"/>
  <c r="N122" i="4"/>
  <c r="N26" i="4"/>
  <c r="N27" i="4"/>
  <c r="N28" i="4"/>
  <c r="N29" i="4"/>
  <c r="N30" i="4"/>
  <c r="N31" i="4"/>
  <c r="N32" i="4"/>
  <c r="N33" i="4"/>
  <c r="N34" i="4"/>
  <c r="N35" i="4"/>
  <c r="N36" i="4"/>
  <c r="N37" i="4"/>
  <c r="N14" i="4"/>
  <c r="N15" i="4"/>
  <c r="N16" i="4"/>
  <c r="N17" i="4"/>
  <c r="N18" i="4"/>
  <c r="N19" i="4"/>
  <c r="N20" i="4"/>
  <c r="N21" i="4"/>
  <c r="N22" i="4"/>
  <c r="N23" i="4"/>
  <c r="N24" i="4"/>
  <c r="N82" i="4"/>
  <c r="N83" i="4"/>
  <c r="N84" i="4"/>
  <c r="N85" i="4"/>
  <c r="N86" i="4"/>
  <c r="N87" i="4"/>
  <c r="N88" i="4"/>
  <c r="N89" i="4"/>
  <c r="N104" i="4"/>
  <c r="N105" i="4"/>
  <c r="N25" i="4"/>
  <c r="N106" i="4"/>
  <c r="N123" i="4"/>
  <c r="N124" i="4"/>
  <c r="N125" i="4"/>
  <c r="N126" i="4"/>
  <c r="N139" i="4"/>
  <c r="N38" i="4"/>
  <c r="N39" i="4"/>
  <c r="N40" i="4"/>
  <c r="N41" i="4"/>
  <c r="N140" i="4"/>
  <c r="N42" i="4"/>
  <c r="N43" i="4"/>
  <c r="N44" i="4"/>
  <c r="N45" i="4"/>
  <c r="N46" i="4"/>
  <c r="N47" i="4"/>
  <c r="N48" i="4"/>
  <c r="N49" i="4"/>
  <c r="N50" i="4"/>
  <c r="N51" i="4"/>
  <c r="N169" i="4"/>
  <c r="N52" i="4"/>
  <c r="N53" i="4"/>
  <c r="N54" i="4"/>
  <c r="N55" i="4"/>
  <c r="N56" i="4"/>
  <c r="N57" i="4"/>
  <c r="N58" i="4"/>
  <c r="N59" i="4"/>
  <c r="N60" i="4"/>
  <c r="N61" i="4"/>
  <c r="N170" i="4"/>
  <c r="N171" i="4"/>
  <c r="N172" i="4"/>
  <c r="N141" i="4"/>
  <c r="N173" i="4"/>
  <c r="N142" i="4"/>
  <c r="N174" i="4"/>
  <c r="N143" i="4"/>
  <c r="N175" i="4"/>
  <c r="N144" i="4"/>
  <c r="N176" i="4"/>
  <c r="N177" i="4"/>
  <c r="N178" i="4"/>
  <c r="N145" i="4"/>
  <c r="N183" i="4"/>
  <c r="N184" i="4"/>
  <c r="N185" i="4"/>
  <c r="N146" i="4"/>
  <c r="N186" i="4"/>
  <c r="N187" i="4"/>
  <c r="N188" i="4"/>
  <c r="N189" i="4"/>
  <c r="N190" i="4"/>
  <c r="N191" i="4"/>
  <c r="N192" i="4"/>
  <c r="N193" i="4"/>
  <c r="N194" i="4"/>
  <c r="N195" i="4"/>
  <c r="N147" i="4"/>
  <c r="N148" i="4"/>
  <c r="N149" i="4"/>
  <c r="N154" i="4"/>
  <c r="N155" i="4"/>
  <c r="N150" i="4"/>
  <c r="N156" i="4"/>
  <c r="N151" i="4"/>
  <c r="N157" i="4"/>
  <c r="N158" i="4"/>
  <c r="N152" i="4"/>
  <c r="N153" i="4"/>
  <c r="N159" i="4"/>
  <c r="N160" i="4"/>
  <c r="N161" i="4"/>
  <c r="N162" i="4"/>
  <c r="N96" i="4"/>
  <c r="N97" i="4"/>
  <c r="N98" i="4"/>
  <c r="N99" i="4"/>
  <c r="N100" i="4"/>
  <c r="N112" i="4"/>
  <c r="N113" i="4"/>
  <c r="N114" i="4"/>
  <c r="N115" i="4"/>
  <c r="N116" i="4"/>
  <c r="N67" i="4"/>
  <c r="N68" i="4"/>
  <c r="N69" i="4"/>
  <c r="N70" i="4"/>
  <c r="N71" i="4"/>
  <c r="N127" i="4"/>
  <c r="N128" i="4"/>
  <c r="N129" i="4"/>
  <c r="N130" i="4"/>
  <c r="N131" i="4"/>
  <c r="N90" i="4"/>
  <c r="N2" i="4"/>
  <c r="K2" i="4"/>
  <c r="K3" i="4"/>
  <c r="K4" i="4"/>
  <c r="K5" i="4"/>
  <c r="K6" i="4"/>
  <c r="K7" i="4"/>
  <c r="K8" i="4"/>
  <c r="K9" i="4"/>
  <c r="K10" i="4"/>
  <c r="K11" i="4"/>
  <c r="K12" i="4"/>
  <c r="K13" i="4"/>
  <c r="K61" i="4"/>
  <c r="K60" i="4"/>
  <c r="K59" i="4"/>
  <c r="K58" i="4"/>
  <c r="K57" i="4"/>
  <c r="K56" i="4"/>
  <c r="K55" i="4"/>
  <c r="K54" i="4"/>
  <c r="K53" i="4"/>
  <c r="K52" i="4"/>
  <c r="K51" i="4"/>
  <c r="K50" i="4"/>
  <c r="K37" i="4"/>
  <c r="K36" i="4"/>
  <c r="K35" i="4"/>
  <c r="K34" i="4"/>
  <c r="K33" i="4"/>
  <c r="K32" i="4"/>
  <c r="K31" i="4"/>
  <c r="K30" i="4"/>
  <c r="K29" i="4"/>
  <c r="K28" i="4"/>
  <c r="K27" i="4"/>
  <c r="K26" i="4"/>
  <c r="K49" i="4"/>
  <c r="K48" i="4"/>
  <c r="K47" i="4"/>
  <c r="K46" i="4"/>
  <c r="K45" i="4"/>
  <c r="K44" i="4"/>
  <c r="K43" i="4"/>
  <c r="K42" i="4"/>
  <c r="K41" i="4"/>
  <c r="K40" i="4"/>
  <c r="K39" i="4"/>
  <c r="K38" i="4"/>
  <c r="K139" i="4"/>
  <c r="K126" i="4"/>
  <c r="K125" i="4"/>
  <c r="K124" i="4"/>
  <c r="K123" i="4"/>
  <c r="K90" i="4"/>
  <c r="K82" i="4"/>
  <c r="K83" i="4"/>
  <c r="K84" i="4"/>
  <c r="K85" i="4"/>
  <c r="K86" i="4"/>
  <c r="K87" i="4"/>
  <c r="K88" i="4"/>
  <c r="K89" i="4"/>
  <c r="K104" i="4"/>
  <c r="K105" i="4"/>
  <c r="K106" i="4"/>
  <c r="K131" i="4"/>
  <c r="K130" i="4"/>
  <c r="K129" i="4"/>
  <c r="K128" i="4"/>
  <c r="K127" i="4"/>
  <c r="K117" i="4"/>
  <c r="K122" i="4"/>
  <c r="K121" i="4"/>
  <c r="K120" i="4"/>
  <c r="K119" i="4"/>
  <c r="K118" i="4"/>
  <c r="K161" i="4"/>
  <c r="K160" i="4"/>
  <c r="K155" i="4"/>
  <c r="K178" i="4"/>
  <c r="K177" i="4"/>
  <c r="K176" i="4"/>
  <c r="K175" i="4"/>
  <c r="K174" i="4"/>
  <c r="K173" i="4"/>
  <c r="K172" i="4"/>
  <c r="K171" i="4"/>
  <c r="K170" i="4"/>
  <c r="K169" i="4"/>
  <c r="K103" i="4"/>
  <c r="K102" i="4"/>
  <c r="K101" i="4"/>
  <c r="K81" i="4"/>
  <c r="K80" i="4"/>
  <c r="K79" i="4"/>
  <c r="K78" i="4"/>
  <c r="K77" i="4"/>
  <c r="K107" i="4"/>
  <c r="K108" i="4"/>
  <c r="K109" i="4"/>
  <c r="K110" i="4"/>
  <c r="K111" i="4"/>
  <c r="K62" i="4"/>
  <c r="K63" i="4"/>
  <c r="K64" i="4"/>
  <c r="K65" i="4"/>
  <c r="K66" i="4"/>
  <c r="K14" i="4"/>
  <c r="K15" i="4"/>
  <c r="K16" i="4"/>
  <c r="K17" i="4"/>
  <c r="K18" i="4"/>
  <c r="K19" i="4"/>
  <c r="K20" i="4"/>
  <c r="K21" i="4"/>
  <c r="K22" i="4"/>
  <c r="K23" i="4"/>
  <c r="K24" i="4"/>
  <c r="K25" i="4"/>
  <c r="K140" i="4"/>
  <c r="K141" i="4"/>
  <c r="K142" i="4"/>
  <c r="K143" i="4"/>
  <c r="K144" i="4"/>
  <c r="K145" i="4"/>
  <c r="K183" i="4"/>
  <c r="K184" i="4"/>
  <c r="K185" i="4"/>
  <c r="K146" i="4"/>
  <c r="K186" i="4"/>
  <c r="K187" i="4"/>
  <c r="K188" i="4"/>
  <c r="K189" i="4"/>
  <c r="K190" i="4"/>
  <c r="K191" i="4"/>
  <c r="K192" i="4"/>
  <c r="K193" i="4"/>
  <c r="K194" i="4"/>
  <c r="K195" i="4"/>
  <c r="K147" i="4"/>
  <c r="K148" i="4"/>
  <c r="K149" i="4"/>
  <c r="K154" i="4"/>
  <c r="K150" i="4"/>
  <c r="K156" i="4"/>
  <c r="K151" i="4"/>
  <c r="K157" i="4"/>
  <c r="K158" i="4"/>
  <c r="K152" i="4"/>
  <c r="K153" i="4"/>
  <c r="K159" i="4"/>
  <c r="K162" i="4"/>
  <c r="K96" i="4"/>
  <c r="K97" i="4"/>
  <c r="K98" i="4"/>
  <c r="K99" i="4"/>
  <c r="K100" i="4"/>
  <c r="K112" i="4"/>
  <c r="K113" i="4"/>
  <c r="K114" i="4"/>
  <c r="K115" i="4"/>
  <c r="K116" i="4"/>
  <c r="K67" i="4"/>
  <c r="K68" i="4"/>
  <c r="K69" i="4"/>
  <c r="K70" i="4"/>
  <c r="K71" i="4"/>
  <c r="K163" i="4"/>
  <c r="K164" i="4"/>
  <c r="K165" i="4"/>
  <c r="K166" i="4"/>
  <c r="K167" i="4"/>
  <c r="K168" i="4"/>
  <c r="K132" i="4"/>
  <c r="K133" i="4"/>
  <c r="K179" i="4"/>
  <c r="K134" i="4"/>
  <c r="K135" i="4"/>
  <c r="K180" i="4"/>
  <c r="K181" i="4"/>
  <c r="K182" i="4"/>
  <c r="K136" i="4"/>
  <c r="K72" i="4"/>
  <c r="K137" i="4"/>
  <c r="K138" i="4"/>
  <c r="K73" i="4"/>
  <c r="K74" i="4"/>
  <c r="K75" i="4"/>
  <c r="K76" i="4"/>
  <c r="K91" i="4"/>
  <c r="K92" i="4"/>
  <c r="K93" i="4"/>
  <c r="K94" i="4"/>
  <c r="K95" i="4"/>
</calcChain>
</file>

<file path=xl/sharedStrings.xml><?xml version="1.0" encoding="utf-8"?>
<sst xmlns="http://schemas.openxmlformats.org/spreadsheetml/2006/main" count="3157" uniqueCount="525">
  <si>
    <t>sdate</t>
  </si>
  <si>
    <t>L</t>
  </si>
  <si>
    <t>H</t>
  </si>
  <si>
    <t>W</t>
  </si>
  <si>
    <t>total_mass</t>
  </si>
  <si>
    <t>gonad_mass</t>
  </si>
  <si>
    <t>CI</t>
  </si>
  <si>
    <t>GI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</si>
  <si>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</si>
  <si>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</si>
  <si>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</si>
  <si>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</si>
  <si>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</si>
  <si>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</si>
  <si>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</si>
  <si>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</si>
  <si>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</si>
  <si>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</si>
  <si>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</si>
  <si>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</si>
  <si>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</si>
  <si>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</si>
  <si>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</si>
  <si>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</si>
  <si>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</si>
  <si>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</si>
  <si>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</si>
  <si>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</si>
  <si>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trt</t>
  </si>
  <si>
    <t>V</t>
  </si>
  <si>
    <t>T13</t>
  </si>
  <si>
    <t>OA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</si>
  <si>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</si>
  <si>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</si>
  <si>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</si>
  <si>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</si>
  <si>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</si>
  <si>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</si>
  <si>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</si>
  <si>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</si>
  <si>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</si>
  <si>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</si>
  <si>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</si>
  <si>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</si>
  <si>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</si>
  <si>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</si>
  <si>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</si>
  <si>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OW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</si>
  <si>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</si>
  <si>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</si>
  <si>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</si>
  <si>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</si>
  <si>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</si>
  <si>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</si>
  <si>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</si>
  <si>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</si>
  <si>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</si>
  <si>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</si>
  <si>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</si>
  <si>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</si>
  <si>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</si>
  <si>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</si>
  <si>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</si>
  <si>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DO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</si>
  <si>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</si>
  <si>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</si>
  <si>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</si>
  <si>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</si>
  <si>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</si>
  <si>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</si>
  <si>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</si>
  <si>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</si>
  <si>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</si>
  <si>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</si>
  <si>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</si>
  <si>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</si>
  <si>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</si>
  <si>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</si>
  <si>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</si>
  <si>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</si>
  <si>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</si>
  <si>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</si>
  <si>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</si>
  <si>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</si>
  <si>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</si>
  <si>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</si>
  <si>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</si>
  <si>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</si>
  <si>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</si>
  <si>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</si>
  <si>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</si>
  <si>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</si>
  <si>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</si>
  <si>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</si>
  <si>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</si>
  <si>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</si>
  <si>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</si>
  <si>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</si>
  <si>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</si>
  <si>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</si>
  <si>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</si>
  <si>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baseline</t>
  </si>
  <si>
    <t>G11</t>
  </si>
  <si>
    <t>G12</t>
  </si>
  <si>
    <t>T11</t>
  </si>
  <si>
    <t>T12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</si>
  <si>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</si>
  <si>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</si>
  <si>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</si>
  <si>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</si>
  <si>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</si>
  <si>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</si>
  <si>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</si>
  <si>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</si>
  <si>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</si>
  <si>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</si>
  <si>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</si>
  <si>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</si>
  <si>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</si>
  <si>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</si>
  <si>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</si>
  <si>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</si>
  <si>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</si>
  <si>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</si>
  <si>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</si>
  <si>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</si>
  <si>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</si>
  <si>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</si>
  <si>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</si>
  <si>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</si>
  <si>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</si>
  <si>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</si>
  <si>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</si>
  <si>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</si>
  <si>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</si>
  <si>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</si>
  <si>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day</t>
  </si>
  <si>
    <t>following</t>
  </si>
  <si>
    <t>no</t>
  </si>
  <si>
    <t>yes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</si>
  <si>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</si>
  <si>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</si>
  <si>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</si>
  <si>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</si>
  <si>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</si>
  <si>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</si>
  <si>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</si>
  <si>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</si>
  <si>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</si>
  <si>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</si>
  <si>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species</t>
  </si>
  <si>
    <t>gallo</t>
  </si>
  <si>
    <t>tross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</si>
  <si>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</si>
  <si>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</si>
  <si>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</si>
  <si>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</si>
  <si>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</si>
  <si>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</si>
  <si>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</si>
  <si>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</si>
  <si>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</si>
  <si>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</si>
  <si>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G60</t>
  </si>
  <si>
    <t>G61</t>
  </si>
  <si>
    <t>G62</t>
  </si>
  <si>
    <t>G63</t>
  </si>
  <si>
    <t>G64</t>
  </si>
  <si>
    <t>T84</t>
  </si>
  <si>
    <t>T85</t>
  </si>
  <si>
    <t>T86</t>
  </si>
  <si>
    <t>T87</t>
  </si>
  <si>
    <t>T88</t>
  </si>
  <si>
    <t>combo</t>
  </si>
  <si>
    <t>ID</t>
  </si>
  <si>
    <t>G65</t>
  </si>
  <si>
    <t>T89</t>
  </si>
  <si>
    <t>T90</t>
  </si>
  <si>
    <t>T91</t>
  </si>
  <si>
    <t>T92</t>
  </si>
  <si>
    <t>T93</t>
  </si>
  <si>
    <t>T94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</si>
  <si>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</si>
  <si>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</si>
  <si>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</si>
  <si>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</si>
  <si>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</si>
  <si>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</si>
  <si>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</si>
  <si>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</si>
  <si>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</si>
  <si>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G66</t>
  </si>
  <si>
    <t>G67</t>
  </si>
  <si>
    <t>G68</t>
  </si>
  <si>
    <t>G69</t>
  </si>
  <si>
    <t>G70</t>
  </si>
  <si>
    <t>T119</t>
  </si>
  <si>
    <t>T120</t>
  </si>
  <si>
    <t>T121</t>
  </si>
  <si>
    <t>T122</t>
  </si>
  <si>
    <t>T123</t>
  </si>
  <si>
    <t>G71</t>
  </si>
  <si>
    <t>G72</t>
  </si>
  <si>
    <t>G73</t>
  </si>
  <si>
    <t>G74</t>
  </si>
  <si>
    <t>G75</t>
  </si>
  <si>
    <t>G76</t>
  </si>
  <si>
    <t>G77</t>
  </si>
  <si>
    <t>G78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</si>
  <si>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</si>
  <si>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</si>
  <si>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</si>
  <si>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</si>
  <si>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</si>
  <si>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</si>
  <si>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</si>
  <si>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</si>
  <si>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</si>
  <si>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</si>
  <si>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</si>
  <si>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</si>
  <si>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</si>
  <si>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</si>
  <si>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</si>
  <si>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</si>
  <si>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</si>
  <si>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</si>
  <si>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</si>
  <si>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</si>
  <si>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</si>
  <si>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</si>
  <si>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</si>
  <si>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</si>
  <si>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</si>
  <si>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</si>
  <si>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</si>
  <si>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</si>
  <si>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</si>
  <si>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</si>
  <si>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</si>
  <si>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</si>
  <si>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</si>
  <si>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</si>
  <si>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</si>
  <si>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</si>
  <si>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</si>
  <si>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</si>
  <si>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desiccation</t>
  </si>
  <si>
    <t>24h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</si>
  <si>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</si>
  <si>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</si>
  <si>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</si>
  <si>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</si>
  <si>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</si>
  <si>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</si>
  <si>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</si>
  <si>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</si>
  <si>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</si>
  <si>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</si>
  <si>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</si>
  <si>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</si>
  <si>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</si>
  <si>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</si>
  <si>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</si>
  <si>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</si>
  <si>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</si>
  <si>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</si>
  <si>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</si>
  <si>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</si>
  <si>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</si>
  <si>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</si>
  <si>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</si>
  <si>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</si>
  <si>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</si>
  <si>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</si>
  <si>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</si>
  <si>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</si>
  <si>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</si>
  <si>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</si>
  <si>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final</t>
  </si>
  <si>
    <t>thread_both</t>
  </si>
  <si>
    <t>thread_before</t>
  </si>
  <si>
    <t>thread_after</t>
  </si>
  <si>
    <t>control</t>
  </si>
  <si>
    <t>thread_count_before</t>
  </si>
  <si>
    <t>thread_count_after</t>
  </si>
  <si>
    <t>before</t>
  </si>
  <si>
    <t>after</t>
  </si>
  <si>
    <t>time</t>
  </si>
  <si>
    <t>thread</t>
  </si>
  <si>
    <t>G241</t>
  </si>
  <si>
    <t>G211</t>
  </si>
  <si>
    <t>G210</t>
  </si>
  <si>
    <t>G240</t>
  </si>
  <si>
    <t>G250</t>
  </si>
  <si>
    <t>G260</t>
  </si>
  <si>
    <t>G261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</si>
  <si>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</si>
  <si>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</si>
  <si>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</si>
  <si>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</si>
  <si>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</si>
  <si>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</si>
  <si>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</si>
  <si>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</si>
  <si>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</si>
  <si>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</si>
  <si>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</si>
  <si>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</si>
  <si>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</si>
  <si>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</si>
  <si>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</si>
  <si>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</si>
  <si>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</si>
  <si>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</si>
  <si>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</si>
  <si>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</si>
  <si>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</si>
  <si>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</si>
  <si>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</si>
  <si>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</si>
  <si>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</si>
  <si>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</si>
  <si>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</si>
  <si>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</si>
  <si>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</si>
  <si>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</si>
  <si>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</si>
  <si>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</si>
  <si>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</si>
  <si>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</si>
  <si>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</si>
  <si>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</si>
  <si>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</si>
  <si>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</si>
  <si>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</si>
  <si>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</si>
  <si>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</si>
  <si>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</si>
  <si>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</si>
  <si>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</si>
  <si>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</si>
  <si>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</si>
  <si>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</si>
  <si>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</si>
  <si>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</si>
  <si>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</si>
  <si>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</si>
  <si>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</si>
  <si>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</si>
  <si>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</si>
  <si>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</si>
  <si>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</si>
  <si>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</si>
  <si>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</si>
  <si>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</si>
  <si>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</si>
  <si>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gallo-baseline</t>
  </si>
  <si>
    <t>gallo-OA</t>
  </si>
  <si>
    <t>gallo-OW</t>
  </si>
  <si>
    <t>gallo-DO</t>
  </si>
  <si>
    <t>gallo-final</t>
  </si>
  <si>
    <t>tross-baseline</t>
  </si>
  <si>
    <t>tross-final</t>
  </si>
  <si>
    <t>tross-OA</t>
  </si>
  <si>
    <t>tross-OW</t>
  </si>
  <si>
    <t>tross-DO</t>
  </si>
  <si>
    <t>priority</t>
  </si>
  <si>
    <t>high</t>
  </si>
  <si>
    <t>medium</t>
  </si>
  <si>
    <t>low</t>
  </si>
  <si>
    <t>F</t>
  </si>
  <si>
    <t>sample</t>
  </si>
  <si>
    <t>concentration(ng/uL)</t>
  </si>
  <si>
    <t>volume(uL)</t>
  </si>
  <si>
    <t>yield(ng)</t>
  </si>
  <si>
    <t>tissue</t>
  </si>
  <si>
    <t>isolation_date</t>
  </si>
  <si>
    <t>storage_location</t>
  </si>
  <si>
    <t>quant_method</t>
  </si>
  <si>
    <t>DNased(y/n)</t>
  </si>
  <si>
    <t>M.trossulus</t>
  </si>
  <si>
    <t>T01-F</t>
  </si>
  <si>
    <t>foot</t>
  </si>
  <si>
    <t>Qubit RNA HS assay</t>
  </si>
  <si>
    <t>y</t>
  </si>
  <si>
    <t>T02-F</t>
  </si>
  <si>
    <t>T03-F</t>
  </si>
  <si>
    <t>T04-F</t>
  </si>
  <si>
    <t>T05-F</t>
  </si>
  <si>
    <t>T06-F</t>
  </si>
  <si>
    <t>T07-F</t>
  </si>
  <si>
    <t>T08-F</t>
  </si>
  <si>
    <t>T09-F</t>
  </si>
  <si>
    <t>T10-F</t>
  </si>
  <si>
    <t>T11-F</t>
  </si>
  <si>
    <t>T12-F</t>
  </si>
  <si>
    <t>T01-F_PG</t>
  </si>
  <si>
    <t>phenol gland</t>
  </si>
  <si>
    <t>T02-F_PG</t>
  </si>
  <si>
    <t>T03-F_PG</t>
  </si>
  <si>
    <t>T04-F_PG</t>
  </si>
  <si>
    <t>T05-F_PG</t>
  </si>
  <si>
    <t>T06-F_PG</t>
  </si>
  <si>
    <t>T07-F_PG</t>
  </si>
  <si>
    <t>T08-F_PG</t>
  </si>
  <si>
    <t>T09-F_PG</t>
  </si>
  <si>
    <t>T10-F_PG</t>
  </si>
  <si>
    <t>T11-F_PG</t>
  </si>
  <si>
    <t>T12-F_PG</t>
  </si>
  <si>
    <t>T01-G</t>
  </si>
  <si>
    <t>gill</t>
  </si>
  <si>
    <t>T02-G</t>
  </si>
  <si>
    <t>T03-G</t>
  </si>
  <si>
    <t>T04-G</t>
  </si>
  <si>
    <t>T05-G</t>
  </si>
  <si>
    <t>T06-G</t>
  </si>
  <si>
    <t>T07-G</t>
  </si>
  <si>
    <t>T08-G</t>
  </si>
  <si>
    <t>T09-G</t>
  </si>
  <si>
    <t>T10-G</t>
  </si>
  <si>
    <t>T11-G</t>
  </si>
  <si>
    <t>T12-G</t>
  </si>
  <si>
    <t>T126-F_PG</t>
  </si>
  <si>
    <t>T127-F_PG</t>
  </si>
  <si>
    <t>T128-F_PG</t>
  </si>
  <si>
    <t>T129-F_PG</t>
  </si>
  <si>
    <t>T130-F_PG</t>
  </si>
  <si>
    <t>T131-F_PG</t>
  </si>
  <si>
    <t>T132-F_PG</t>
  </si>
  <si>
    <t>T133-F_PG</t>
  </si>
  <si>
    <t>T134-F_PG</t>
  </si>
  <si>
    <t>T135-F_PG</t>
  </si>
  <si>
    <t>T136-F_PG</t>
  </si>
  <si>
    <t>T137-F_PG</t>
  </si>
  <si>
    <t>T126-G</t>
  </si>
  <si>
    <t>T127-G</t>
  </si>
  <si>
    <t>T128-G</t>
  </si>
  <si>
    <t>T129-G</t>
  </si>
  <si>
    <t>T130-G</t>
  </si>
  <si>
    <t>T131-G</t>
  </si>
  <si>
    <t>T132-G</t>
  </si>
  <si>
    <t>T133-G</t>
  </si>
  <si>
    <t>T134-G</t>
  </si>
  <si>
    <t>T135-G</t>
  </si>
  <si>
    <t>T136-G</t>
  </si>
  <si>
    <t>T137-G</t>
  </si>
  <si>
    <t>T110-F_PG</t>
  </si>
  <si>
    <t>T111-F_PG</t>
  </si>
  <si>
    <t>T112-F_PG</t>
  </si>
  <si>
    <t>T46-F_PG</t>
  </si>
  <si>
    <t>T47-F_PG</t>
  </si>
  <si>
    <t>T49-F_PG</t>
  </si>
  <si>
    <t>T51-F_PG</t>
  </si>
  <si>
    <t>T52-F_PG</t>
  </si>
  <si>
    <t>T55-F_PG</t>
  </si>
  <si>
    <t>T56-F_PG</t>
  </si>
  <si>
    <t>T57-F_PG</t>
  </si>
  <si>
    <t>T58-F_PG</t>
  </si>
  <si>
    <t>T110-G</t>
  </si>
  <si>
    <t>T111-G</t>
  </si>
  <si>
    <t>T112-G</t>
  </si>
  <si>
    <t>T46-G</t>
  </si>
  <si>
    <t>T47-G</t>
  </si>
  <si>
    <t>T49-G</t>
  </si>
  <si>
    <t>T51-G</t>
  </si>
  <si>
    <t>T52-G</t>
  </si>
  <si>
    <t>T55-G</t>
  </si>
  <si>
    <t>T56-G</t>
  </si>
  <si>
    <t>T57-G</t>
  </si>
  <si>
    <t>T58-G</t>
  </si>
  <si>
    <t>T118-F_PG</t>
  </si>
  <si>
    <t>T119-F_PG</t>
  </si>
  <si>
    <t>T14-F_PG</t>
  </si>
  <si>
    <t>T15-F_PG</t>
  </si>
  <si>
    <t>T16-F_PG</t>
  </si>
  <si>
    <t>T17-F_PG</t>
  </si>
  <si>
    <t>T19-F_PG</t>
  </si>
  <si>
    <t>T21-F_PG</t>
  </si>
  <si>
    <t>T23-F_PG</t>
  </si>
  <si>
    <t>T25-F_PG</t>
  </si>
  <si>
    <t>T26-F_PG</t>
  </si>
  <si>
    <t>T27-F_PG</t>
  </si>
  <si>
    <t>T118-G</t>
  </si>
  <si>
    <t>T119-G</t>
  </si>
  <si>
    <t>T14-G</t>
  </si>
  <si>
    <t>T15-G</t>
  </si>
  <si>
    <t>T16-G</t>
  </si>
  <si>
    <t>T17-G</t>
  </si>
  <si>
    <t>T19-G</t>
  </si>
  <si>
    <t>T21-G</t>
  </si>
  <si>
    <t>T23-G</t>
  </si>
  <si>
    <t>T25-G</t>
  </si>
  <si>
    <t>T26-G</t>
  </si>
  <si>
    <t>T27-G</t>
  </si>
  <si>
    <t>T29-F_PG</t>
  </si>
  <si>
    <t>T30-F_PG</t>
  </si>
  <si>
    <t>T31-F_PG</t>
  </si>
  <si>
    <t>T33-F_PG</t>
  </si>
  <si>
    <t>T34-F_PG</t>
  </si>
  <si>
    <t>T35-F_PG</t>
  </si>
  <si>
    <t>T36-F_PG</t>
  </si>
  <si>
    <t>T37-F_PG</t>
  </si>
  <si>
    <t>T38-F_PG</t>
  </si>
  <si>
    <t>T39-F_PG</t>
  </si>
  <si>
    <t>T40-F_PG</t>
  </si>
  <si>
    <t>T41-F_PG</t>
  </si>
  <si>
    <t>T29-G</t>
  </si>
  <si>
    <t>T30-G</t>
  </si>
  <si>
    <t>T31-G</t>
  </si>
  <si>
    <t>T33-G</t>
  </si>
  <si>
    <t>T34-G</t>
  </si>
  <si>
    <t>T35-G</t>
  </si>
  <si>
    <t>T36-G</t>
  </si>
  <si>
    <t>T37-G</t>
  </si>
  <si>
    <t>T38-G</t>
  </si>
  <si>
    <t>T39-G</t>
  </si>
  <si>
    <t>T40-G</t>
  </si>
  <si>
    <t>T41-G</t>
  </si>
  <si>
    <t>F_PG</t>
  </si>
  <si>
    <t>G</t>
  </si>
  <si>
    <t>mussel</t>
  </si>
  <si>
    <t>tissue_name</t>
  </si>
  <si>
    <t>treatment</t>
  </si>
  <si>
    <t>paired_threads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</si>
</sst>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01E8-434F-48F8-A4DE-F240F67D4FEC}">
  <dimension ref="A1:R195"/>
  <sheetViews>
    <sheetView zoomScale="85" zoomScaleNormal="85" workbookViewId="0">
      <pane ySplit="1" topLeftCell="A32" activePane="bottomLeft" state="frozen"/>
      <selection pane="bottomLeft" activeCell="G145" sqref="G145"/>
    </sheetView>
  </sheetViews>
  <sheetFormatPr defaultRowHeight="15" x14ac:dyDescent="0.25"/>
  <cols>
    <col min="1" max="1" width="9" style="1" customWidth="1"/>
    <col min="2" max="2" width="8.42578125" style="1" customWidth="1"/>
    <col min="3" max="3" width="9" style="1" customWidth="1"/>
    <col min="4" max="4" width="14.85546875" style="1" customWidth="1"/>
    <col min="5" max="5" width="8.42578125" style="1" customWidth="1"/>
    <col min="6" max="6" width="17.7109375" style="1" customWidth="1"/>
    <col min="7" max="7" width="11.5703125" style="1" customWidth="1"/>
    <col min="8" max="8" width="6.140625" style="3" bestFit="1" customWidth="1"/>
    <col min="9" max="9" width="6.5703125" style="3" bestFit="1" customWidth="1"/>
    <col min="10" max="10" width="7" style="3" bestFit="1" customWidth="1"/>
    <col min="11" max="11" width="6.42578125" style="3" bestFit="1" customWidth="1"/>
    <col min="12" max="12" width="17.140625" style="1" bestFit="1" customWidth="1"/>
    <col min="13" max="13" width="15.85546875" style="1" customWidth="1"/>
    <col min="14" max="14" width="15.7109375" style="1" bestFit="1" customWidth="1"/>
    <col min="15" max="15" width="18.7109375" style="1" bestFit="1" customWidth="1"/>
    <col min="16" max="16" width="17.140625" style="1" bestFit="1" customWidth="1"/>
  </cols>
  <sheetData>
    <row r="1" spans="1:18" x14ac:dyDescent="0.25">
      <c r="A1" s="1" t="s">
        <v>174</v>
      </c>
      <c r="B1" s="1" t="s">
        <v>150</v>
      </c>
      <c r="C1" s="1" t="s">
        <v>137</v>
      </c>
      <c r="D1" s="1" t="s">
        <v>28</v>
      </c>
      <c r="E1" s="1" t="s">
        <v>136</v>
      </c>
      <c r="F1" s="1" t="s">
        <v>173</v>
      </c>
      <c r="G1" s="1" t="s">
        <v>0</v>
      </c>
      <c r="H1" s="3" t="s">
        <v>1</v>
      </c>
      <c r="I1" s="3" t="s">
        <v>2</v>
      </c>
      <c r="J1" s="3" t="s">
        <v>3</v>
      </c>
      <c r="K1" s="3" t="s">
        <v>29</v>
      </c>
      <c r="L1" s="3" t="s">
        <v>281</v>
      </c>
      <c r="M1" s="3" t="s">
        <v>282</v>
      </c>
      <c r="N1" s="3" t="s">
        <v>280</v>
      </c>
      <c r="O1" s="3" t="s">
        <v>284</v>
      </c>
      <c r="P1" s="3" t="s">
        <v>285</v>
      </c>
    </row>
    <row r="2" spans="1:18" x14ac:dyDescent="0.25">
      <c r="A2" s="1" t="s">
        <v>8</v>
      </c>
      <c r="B2" s="1" t="s">
        <v>151</v>
      </c>
      <c r="C2" s="1" t="s">
        <v>138</v>
      </c>
      <c r="D2" s="1" t="s">
        <v>283</v>
      </c>
      <c r="E2" s="1">
        <v>0</v>
      </c>
      <c r="F2" s="1" t="str">
        <f>B2&amp;"-"&amp;D2&amp;"-"&amp;E2</f>
        <v>gallo-control-0</v>
      </c>
      <c r="G2" s="2">
        <v>44491</v>
      </c>
      <c r="H2" s="1">
        <v>62</v>
      </c>
      <c r="I2" s="1">
        <v>33</v>
      </c>
      <c r="J2" s="1">
        <v>24</v>
      </c>
      <c r="K2" s="3">
        <f t="shared" ref="K2:K33" si="0">ROUND((4/3)*(H2/10)*(I2/10)*(J2/10),0)</f>
        <v>65</v>
      </c>
      <c r="L2" s="1">
        <v>1</v>
      </c>
      <c r="M2" s="1">
        <v>0</v>
      </c>
      <c r="N2" s="1">
        <f t="shared" ref="N2:N33" si="1">IF(L2+M2=2,1,0)</f>
        <v>0</v>
      </c>
      <c r="O2" s="1">
        <v>8</v>
      </c>
    </row>
    <row r="3" spans="1:18" x14ac:dyDescent="0.25">
      <c r="A3" s="1" t="s">
        <v>9</v>
      </c>
      <c r="B3" s="1" t="s">
        <v>151</v>
      </c>
      <c r="C3" s="1" t="s">
        <v>138</v>
      </c>
      <c r="D3" s="1" t="s">
        <v>283</v>
      </c>
      <c r="E3" s="1">
        <v>0</v>
      </c>
      <c r="F3" s="1" t="str">
        <f t="shared" ref="F3:F66" si="2">B3&amp;"-"&amp;D3&amp;"-"&amp;E3</f>
        <v>gallo-control-0</v>
      </c>
      <c r="G3" s="2">
        <v>44491</v>
      </c>
      <c r="H3" s="1">
        <v>64</v>
      </c>
      <c r="I3" s="1">
        <v>35</v>
      </c>
      <c r="J3" s="1">
        <v>24</v>
      </c>
      <c r="K3" s="3">
        <f t="shared" si="0"/>
        <v>72</v>
      </c>
      <c r="L3" s="1">
        <v>1</v>
      </c>
      <c r="M3" s="1">
        <v>0</v>
      </c>
      <c r="N3" s="1">
        <f t="shared" si="1"/>
        <v>0</v>
      </c>
      <c r="O3" s="1">
        <v>12</v>
      </c>
    </row>
    <row r="4" spans="1:18" x14ac:dyDescent="0.25">
      <c r="A4" s="1" t="s">
        <v>10</v>
      </c>
      <c r="B4" s="1" t="s">
        <v>151</v>
      </c>
      <c r="C4" s="1" t="s">
        <v>138</v>
      </c>
      <c r="D4" s="1" t="s">
        <v>283</v>
      </c>
      <c r="E4" s="1">
        <v>0</v>
      </c>
      <c r="F4" s="1" t="str">
        <f t="shared" si="2"/>
        <v>gallo-control-0</v>
      </c>
      <c r="G4" s="2">
        <v>44491</v>
      </c>
      <c r="H4" s="1">
        <v>59</v>
      </c>
      <c r="I4" s="1">
        <v>34</v>
      </c>
      <c r="J4" s="1">
        <v>23</v>
      </c>
      <c r="K4" s="3">
        <f t="shared" si="0"/>
        <v>62</v>
      </c>
      <c r="L4" s="1">
        <v>1</v>
      </c>
      <c r="M4" s="1">
        <v>0</v>
      </c>
      <c r="N4" s="1">
        <f t="shared" si="1"/>
        <v>0</v>
      </c>
      <c r="O4" s="1">
        <v>6</v>
      </c>
    </row>
    <row r="5" spans="1:18" x14ac:dyDescent="0.25">
      <c r="A5" s="1" t="s">
        <v>11</v>
      </c>
      <c r="B5" s="1" t="s">
        <v>151</v>
      </c>
      <c r="C5" s="1" t="s">
        <v>138</v>
      </c>
      <c r="D5" s="1" t="s">
        <v>283</v>
      </c>
      <c r="E5" s="1">
        <v>0</v>
      </c>
      <c r="F5" s="1" t="str">
        <f t="shared" si="2"/>
        <v>gallo-control-0</v>
      </c>
      <c r="G5" s="2">
        <v>44491</v>
      </c>
      <c r="H5" s="1">
        <v>51</v>
      </c>
      <c r="I5" s="1">
        <v>30</v>
      </c>
      <c r="J5" s="1">
        <v>19</v>
      </c>
      <c r="K5" s="3">
        <f t="shared" si="0"/>
        <v>39</v>
      </c>
      <c r="L5" s="1">
        <v>1</v>
      </c>
      <c r="M5" s="1">
        <v>0</v>
      </c>
      <c r="N5" s="1">
        <f t="shared" si="1"/>
        <v>0</v>
      </c>
      <c r="O5" s="1">
        <v>6</v>
      </c>
    </row>
    <row r="6" spans="1:18" x14ac:dyDescent="0.25">
      <c r="A6" s="1" t="s">
        <v>12</v>
      </c>
      <c r="B6" s="1" t="s">
        <v>151</v>
      </c>
      <c r="C6" s="1" t="s">
        <v>138</v>
      </c>
      <c r="D6" s="1" t="s">
        <v>283</v>
      </c>
      <c r="E6" s="1">
        <v>0</v>
      </c>
      <c r="F6" s="1" t="str">
        <f t="shared" si="2"/>
        <v>gallo-control-0</v>
      </c>
      <c r="G6" s="2">
        <v>44491</v>
      </c>
      <c r="H6" s="1">
        <v>63</v>
      </c>
      <c r="I6" s="1">
        <v>37</v>
      </c>
      <c r="J6" s="1">
        <v>23</v>
      </c>
      <c r="K6" s="3">
        <f t="shared" si="0"/>
        <v>71</v>
      </c>
      <c r="L6" s="1">
        <v>1</v>
      </c>
      <c r="M6" s="1">
        <v>0</v>
      </c>
      <c r="N6" s="1">
        <f t="shared" si="1"/>
        <v>0</v>
      </c>
      <c r="O6" s="1">
        <v>7</v>
      </c>
    </row>
    <row r="7" spans="1:18" x14ac:dyDescent="0.25">
      <c r="A7" s="1" t="s">
        <v>13</v>
      </c>
      <c r="B7" s="1" t="s">
        <v>151</v>
      </c>
      <c r="C7" s="1" t="s">
        <v>138</v>
      </c>
      <c r="D7" s="1" t="s">
        <v>283</v>
      </c>
      <c r="E7" s="1">
        <v>0</v>
      </c>
      <c r="F7" s="1" t="str">
        <f t="shared" si="2"/>
        <v>gallo-control-0</v>
      </c>
      <c r="G7" s="2">
        <v>44491</v>
      </c>
      <c r="H7" s="1">
        <v>62</v>
      </c>
      <c r="I7" s="1">
        <v>33</v>
      </c>
      <c r="J7" s="1">
        <v>24</v>
      </c>
      <c r="K7" s="3">
        <f t="shared" si="0"/>
        <v>65</v>
      </c>
      <c r="L7" s="1">
        <v>1</v>
      </c>
      <c r="M7" s="1">
        <v>0</v>
      </c>
      <c r="N7" s="1">
        <f t="shared" si="1"/>
        <v>0</v>
      </c>
      <c r="O7" s="1">
        <v>9</v>
      </c>
    </row>
    <row r="8" spans="1:18" x14ac:dyDescent="0.25">
      <c r="A8" s="1" t="s">
        <v>14</v>
      </c>
      <c r="B8" s="1" t="s">
        <v>151</v>
      </c>
      <c r="C8" s="1" t="s">
        <v>138</v>
      </c>
      <c r="D8" s="1" t="s">
        <v>283</v>
      </c>
      <c r="E8" s="1">
        <v>0</v>
      </c>
      <c r="F8" s="1" t="str">
        <f t="shared" si="2"/>
        <v>gallo-control-0</v>
      </c>
      <c r="G8" s="2">
        <v>44491</v>
      </c>
      <c r="H8" s="1">
        <v>71</v>
      </c>
      <c r="I8" s="1">
        <v>40</v>
      </c>
      <c r="J8" s="1">
        <v>25</v>
      </c>
      <c r="K8" s="3">
        <f t="shared" si="0"/>
        <v>95</v>
      </c>
      <c r="L8" s="1">
        <v>1</v>
      </c>
      <c r="M8" s="1">
        <v>0</v>
      </c>
      <c r="N8" s="1">
        <f t="shared" si="1"/>
        <v>0</v>
      </c>
      <c r="O8" s="1">
        <v>12</v>
      </c>
    </row>
    <row r="9" spans="1:18" x14ac:dyDescent="0.25">
      <c r="A9" s="1" t="s">
        <v>15</v>
      </c>
      <c r="B9" s="1" t="s">
        <v>151</v>
      </c>
      <c r="C9" s="1" t="s">
        <v>138</v>
      </c>
      <c r="D9" s="1" t="s">
        <v>283</v>
      </c>
      <c r="E9" s="1">
        <v>0</v>
      </c>
      <c r="F9" s="1" t="str">
        <f t="shared" si="2"/>
        <v>gallo-control-0</v>
      </c>
      <c r="G9" s="2">
        <v>44491</v>
      </c>
      <c r="H9" s="1">
        <v>67</v>
      </c>
      <c r="I9" s="1">
        <v>34</v>
      </c>
      <c r="J9" s="1">
        <v>24</v>
      </c>
      <c r="K9" s="3">
        <f t="shared" si="0"/>
        <v>73</v>
      </c>
      <c r="L9" s="1">
        <v>1</v>
      </c>
      <c r="M9" s="1">
        <v>0</v>
      </c>
      <c r="N9" s="1">
        <f t="shared" si="1"/>
        <v>0</v>
      </c>
      <c r="O9" s="1">
        <v>14</v>
      </c>
    </row>
    <row r="10" spans="1:18" x14ac:dyDescent="0.25">
      <c r="A10" s="1" t="s">
        <v>16</v>
      </c>
      <c r="B10" s="1" t="s">
        <v>151</v>
      </c>
      <c r="C10" s="1" t="s">
        <v>138</v>
      </c>
      <c r="D10" s="1" t="s">
        <v>283</v>
      </c>
      <c r="E10" s="1">
        <v>0</v>
      </c>
      <c r="F10" s="1" t="str">
        <f t="shared" si="2"/>
        <v>gallo-control-0</v>
      </c>
      <c r="G10" s="2">
        <v>44491</v>
      </c>
      <c r="H10" s="1">
        <v>58</v>
      </c>
      <c r="I10" s="1">
        <v>32</v>
      </c>
      <c r="J10" s="1">
        <v>23</v>
      </c>
      <c r="K10" s="3">
        <f t="shared" si="0"/>
        <v>57</v>
      </c>
      <c r="L10" s="1">
        <v>1</v>
      </c>
      <c r="M10" s="1">
        <v>0</v>
      </c>
      <c r="N10" s="1">
        <f t="shared" si="1"/>
        <v>0</v>
      </c>
      <c r="O10" s="1">
        <v>11</v>
      </c>
    </row>
    <row r="11" spans="1:18" x14ac:dyDescent="0.25">
      <c r="A11" s="1" t="s">
        <v>17</v>
      </c>
      <c r="B11" s="1" t="s">
        <v>151</v>
      </c>
      <c r="C11" s="1" t="s">
        <v>138</v>
      </c>
      <c r="D11" s="1" t="s">
        <v>283</v>
      </c>
      <c r="E11" s="1">
        <v>0</v>
      </c>
      <c r="F11" s="1" t="str">
        <f t="shared" si="2"/>
        <v>gallo-control-0</v>
      </c>
      <c r="G11" s="2">
        <v>44491</v>
      </c>
      <c r="H11" s="1">
        <v>67</v>
      </c>
      <c r="I11" s="1">
        <v>34</v>
      </c>
      <c r="J11" s="1">
        <v>24</v>
      </c>
      <c r="K11" s="3">
        <f t="shared" si="0"/>
        <v>73</v>
      </c>
      <c r="L11" s="1">
        <v>1</v>
      </c>
      <c r="M11" s="1">
        <v>0</v>
      </c>
      <c r="N11" s="1">
        <f t="shared" si="1"/>
        <v>0</v>
      </c>
      <c r="O11" s="1">
        <v>7</v>
      </c>
    </row>
    <row r="12" spans="1:18" x14ac:dyDescent="0.25">
      <c r="A12" s="1" t="s">
        <v>102</v>
      </c>
      <c r="B12" s="1" t="s">
        <v>151</v>
      </c>
      <c r="C12" s="1" t="s">
        <v>138</v>
      </c>
      <c r="D12" s="1" t="s">
        <v>283</v>
      </c>
      <c r="E12" s="1">
        <v>0</v>
      </c>
      <c r="F12" s="1" t="str">
        <f t="shared" si="2"/>
        <v>gallo-control-0</v>
      </c>
      <c r="G12" s="2">
        <v>44491</v>
      </c>
      <c r="H12" s="1">
        <v>63</v>
      </c>
      <c r="I12" s="1">
        <v>34</v>
      </c>
      <c r="J12" s="1">
        <v>20</v>
      </c>
      <c r="K12" s="3">
        <f t="shared" si="0"/>
        <v>57</v>
      </c>
      <c r="L12" s="1">
        <v>1</v>
      </c>
      <c r="M12" s="1">
        <v>0</v>
      </c>
      <c r="N12" s="1">
        <f t="shared" si="1"/>
        <v>0</v>
      </c>
      <c r="O12" s="1">
        <v>9</v>
      </c>
    </row>
    <row r="13" spans="1:18" x14ac:dyDescent="0.25">
      <c r="A13" s="1" t="s">
        <v>103</v>
      </c>
      <c r="B13" s="1" t="s">
        <v>151</v>
      </c>
      <c r="C13" s="1" t="s">
        <v>138</v>
      </c>
      <c r="D13" s="1" t="s">
        <v>283</v>
      </c>
      <c r="E13" s="1">
        <v>0</v>
      </c>
      <c r="F13" s="1" t="str">
        <f t="shared" si="2"/>
        <v>gallo-control-0</v>
      </c>
      <c r="G13" s="2">
        <v>44491</v>
      </c>
      <c r="H13" s="1">
        <v>65</v>
      </c>
      <c r="I13" s="1">
        <v>36</v>
      </c>
      <c r="J13" s="1">
        <v>23</v>
      </c>
      <c r="K13" s="3">
        <f t="shared" si="0"/>
        <v>72</v>
      </c>
      <c r="L13" s="1">
        <v>1</v>
      </c>
      <c r="M13" s="1">
        <v>0</v>
      </c>
      <c r="N13" s="1">
        <f t="shared" si="1"/>
        <v>0</v>
      </c>
      <c r="O13" s="1">
        <v>13</v>
      </c>
    </row>
    <row r="14" spans="1:18" x14ac:dyDescent="0.25">
      <c r="A14" s="1" t="s">
        <v>18</v>
      </c>
      <c r="B14" s="1" t="s">
        <v>152</v>
      </c>
      <c r="C14" s="1" t="s">
        <v>138</v>
      </c>
      <c r="D14" s="1" t="s">
        <v>283</v>
      </c>
      <c r="E14" s="1">
        <v>0</v>
      </c>
      <c r="F14" s="1" t="str">
        <f t="shared" si="2"/>
        <v>tross-control-0</v>
      </c>
      <c r="G14" s="2">
        <v>44491</v>
      </c>
      <c r="H14" s="1">
        <v>64</v>
      </c>
      <c r="I14" s="1">
        <v>30</v>
      </c>
      <c r="J14" s="1">
        <v>21</v>
      </c>
      <c r="K14" s="3">
        <f t="shared" si="0"/>
        <v>54</v>
      </c>
      <c r="L14" s="1">
        <v>1</v>
      </c>
      <c r="M14" s="1">
        <v>0</v>
      </c>
      <c r="N14" s="1">
        <f t="shared" si="1"/>
        <v>0</v>
      </c>
      <c r="O14" s="1">
        <v>7</v>
      </c>
      <c r="R14" s="1"/>
    </row>
    <row r="15" spans="1:18" x14ac:dyDescent="0.25">
      <c r="A15" s="1" t="s">
        <v>19</v>
      </c>
      <c r="B15" s="1" t="s">
        <v>152</v>
      </c>
      <c r="C15" s="1" t="s">
        <v>138</v>
      </c>
      <c r="D15" s="1" t="s">
        <v>283</v>
      </c>
      <c r="E15" s="1">
        <v>0</v>
      </c>
      <c r="F15" s="1" t="str">
        <f t="shared" si="2"/>
        <v>tross-control-0</v>
      </c>
      <c r="G15" s="2">
        <v>44491</v>
      </c>
      <c r="H15" s="1">
        <v>50</v>
      </c>
      <c r="I15" s="1">
        <v>23</v>
      </c>
      <c r="J15" s="1">
        <v>16</v>
      </c>
      <c r="K15" s="3">
        <f t="shared" si="0"/>
        <v>25</v>
      </c>
      <c r="L15" s="1">
        <v>1</v>
      </c>
      <c r="M15" s="1">
        <v>0</v>
      </c>
      <c r="N15" s="1">
        <f t="shared" si="1"/>
        <v>0</v>
      </c>
      <c r="O15" s="1">
        <v>26</v>
      </c>
      <c r="R15" s="1"/>
    </row>
    <row r="16" spans="1:18" x14ac:dyDescent="0.25">
      <c r="A16" s="1" t="s">
        <v>20</v>
      </c>
      <c r="B16" s="1" t="s">
        <v>152</v>
      </c>
      <c r="C16" s="1" t="s">
        <v>138</v>
      </c>
      <c r="D16" s="1" t="s">
        <v>283</v>
      </c>
      <c r="E16" s="1">
        <v>0</v>
      </c>
      <c r="F16" s="1" t="str">
        <f t="shared" si="2"/>
        <v>tross-control-0</v>
      </c>
      <c r="G16" s="2">
        <v>44491</v>
      </c>
      <c r="H16" s="1">
        <v>56</v>
      </c>
      <c r="I16" s="1">
        <v>25</v>
      </c>
      <c r="J16" s="1">
        <v>19</v>
      </c>
      <c r="K16" s="3">
        <f t="shared" si="0"/>
        <v>35</v>
      </c>
      <c r="L16" s="1">
        <v>1</v>
      </c>
      <c r="M16" s="1">
        <v>0</v>
      </c>
      <c r="N16" s="1">
        <f t="shared" si="1"/>
        <v>0</v>
      </c>
      <c r="O16" s="1">
        <v>18</v>
      </c>
      <c r="R16" s="1"/>
    </row>
    <row r="17" spans="1:18" x14ac:dyDescent="0.25">
      <c r="A17" s="1" t="s">
        <v>21</v>
      </c>
      <c r="B17" s="1" t="s">
        <v>152</v>
      </c>
      <c r="C17" s="1" t="s">
        <v>138</v>
      </c>
      <c r="D17" s="1" t="s">
        <v>283</v>
      </c>
      <c r="E17" s="1">
        <v>0</v>
      </c>
      <c r="F17" s="1" t="str">
        <f t="shared" si="2"/>
        <v>tross-control-0</v>
      </c>
      <c r="G17" s="2">
        <v>44491</v>
      </c>
      <c r="H17" s="1">
        <v>50</v>
      </c>
      <c r="I17" s="1">
        <v>26</v>
      </c>
      <c r="J17" s="1">
        <v>19</v>
      </c>
      <c r="K17" s="3">
        <f t="shared" si="0"/>
        <v>33</v>
      </c>
      <c r="L17" s="1">
        <v>1</v>
      </c>
      <c r="M17" s="1">
        <v>0</v>
      </c>
      <c r="N17" s="1">
        <f t="shared" si="1"/>
        <v>0</v>
      </c>
      <c r="O17" s="1">
        <v>10</v>
      </c>
      <c r="R17" s="1"/>
    </row>
    <row r="18" spans="1:18" x14ac:dyDescent="0.25">
      <c r="A18" s="1" t="s">
        <v>22</v>
      </c>
      <c r="B18" s="1" t="s">
        <v>152</v>
      </c>
      <c r="C18" s="1" t="s">
        <v>138</v>
      </c>
      <c r="D18" s="1" t="s">
        <v>283</v>
      </c>
      <c r="E18" s="1">
        <v>0</v>
      </c>
      <c r="F18" s="1" t="str">
        <f t="shared" si="2"/>
        <v>tross-control-0</v>
      </c>
      <c r="G18" s="2">
        <v>44491</v>
      </c>
      <c r="H18" s="1">
        <v>60</v>
      </c>
      <c r="I18" s="1">
        <v>27</v>
      </c>
      <c r="J18" s="1">
        <v>21</v>
      </c>
      <c r="K18" s="3">
        <f t="shared" si="0"/>
        <v>45</v>
      </c>
      <c r="L18" s="1">
        <v>1</v>
      </c>
      <c r="M18" s="1">
        <v>0</v>
      </c>
      <c r="N18" s="1">
        <f t="shared" si="1"/>
        <v>0</v>
      </c>
      <c r="O18" s="1">
        <v>7</v>
      </c>
      <c r="R18" s="1"/>
    </row>
    <row r="19" spans="1:18" x14ac:dyDescent="0.25">
      <c r="A19" s="1" t="s">
        <v>23</v>
      </c>
      <c r="B19" s="1" t="s">
        <v>152</v>
      </c>
      <c r="C19" s="1" t="s">
        <v>138</v>
      </c>
      <c r="D19" s="1" t="s">
        <v>283</v>
      </c>
      <c r="E19" s="1">
        <v>0</v>
      </c>
      <c r="F19" s="1" t="str">
        <f t="shared" si="2"/>
        <v>tross-control-0</v>
      </c>
      <c r="G19" s="2">
        <v>44491</v>
      </c>
      <c r="H19" s="1">
        <v>53</v>
      </c>
      <c r="I19" s="1">
        <v>25</v>
      </c>
      <c r="J19" s="1">
        <v>16</v>
      </c>
      <c r="K19" s="3">
        <f t="shared" si="0"/>
        <v>28</v>
      </c>
      <c r="L19" s="1">
        <v>1</v>
      </c>
      <c r="M19" s="1">
        <v>0</v>
      </c>
      <c r="N19" s="1">
        <f t="shared" si="1"/>
        <v>0</v>
      </c>
      <c r="O19" s="1">
        <v>9</v>
      </c>
      <c r="R19" s="1"/>
    </row>
    <row r="20" spans="1:18" x14ac:dyDescent="0.25">
      <c r="A20" s="1" t="s">
        <v>24</v>
      </c>
      <c r="B20" s="1" t="s">
        <v>152</v>
      </c>
      <c r="C20" s="1" t="s">
        <v>138</v>
      </c>
      <c r="D20" s="1" t="s">
        <v>283</v>
      </c>
      <c r="E20" s="1">
        <v>0</v>
      </c>
      <c r="F20" s="1" t="str">
        <f t="shared" si="2"/>
        <v>tross-control-0</v>
      </c>
      <c r="G20" s="2">
        <v>44491</v>
      </c>
      <c r="H20" s="1">
        <v>54</v>
      </c>
      <c r="I20" s="1">
        <v>27</v>
      </c>
      <c r="J20" s="1">
        <v>17</v>
      </c>
      <c r="K20" s="3">
        <f t="shared" si="0"/>
        <v>33</v>
      </c>
      <c r="L20" s="1">
        <v>1</v>
      </c>
      <c r="M20" s="1">
        <v>0</v>
      </c>
      <c r="N20" s="1">
        <f t="shared" si="1"/>
        <v>0</v>
      </c>
      <c r="O20" s="1">
        <v>13</v>
      </c>
      <c r="R20" s="1"/>
    </row>
    <row r="21" spans="1:18" x14ac:dyDescent="0.25">
      <c r="A21" s="1" t="s">
        <v>25</v>
      </c>
      <c r="B21" s="1" t="s">
        <v>152</v>
      </c>
      <c r="C21" s="1" t="s">
        <v>138</v>
      </c>
      <c r="D21" s="1" t="s">
        <v>283</v>
      </c>
      <c r="E21" s="1">
        <v>0</v>
      </c>
      <c r="F21" s="1" t="str">
        <f t="shared" si="2"/>
        <v>tross-control-0</v>
      </c>
      <c r="G21" s="2">
        <v>44491</v>
      </c>
      <c r="H21" s="1">
        <v>63</v>
      </c>
      <c r="I21" s="1">
        <v>26</v>
      </c>
      <c r="J21" s="1">
        <v>21</v>
      </c>
      <c r="K21" s="3">
        <f t="shared" si="0"/>
        <v>46</v>
      </c>
      <c r="L21" s="1">
        <v>1</v>
      </c>
      <c r="M21" s="1">
        <v>0</v>
      </c>
      <c r="N21" s="1">
        <f t="shared" si="1"/>
        <v>0</v>
      </c>
      <c r="O21" s="1">
        <v>9</v>
      </c>
      <c r="R21" s="1"/>
    </row>
    <row r="22" spans="1:18" x14ac:dyDescent="0.25">
      <c r="A22" s="1" t="s">
        <v>26</v>
      </c>
      <c r="B22" s="1" t="s">
        <v>152</v>
      </c>
      <c r="C22" s="1" t="s">
        <v>138</v>
      </c>
      <c r="D22" s="1" t="s">
        <v>283</v>
      </c>
      <c r="E22" s="1">
        <v>0</v>
      </c>
      <c r="F22" s="1" t="str">
        <f t="shared" si="2"/>
        <v>tross-control-0</v>
      </c>
      <c r="G22" s="2">
        <v>44491</v>
      </c>
      <c r="H22" s="1">
        <v>59</v>
      </c>
      <c r="I22" s="1">
        <v>27</v>
      </c>
      <c r="J22" s="1">
        <v>19</v>
      </c>
      <c r="K22" s="3">
        <f t="shared" si="0"/>
        <v>40</v>
      </c>
      <c r="L22" s="1">
        <v>1</v>
      </c>
      <c r="M22" s="1">
        <v>0</v>
      </c>
      <c r="N22" s="1">
        <f t="shared" si="1"/>
        <v>0</v>
      </c>
      <c r="O22" s="1">
        <v>6</v>
      </c>
      <c r="R22" s="1"/>
    </row>
    <row r="23" spans="1:18" x14ac:dyDescent="0.25">
      <c r="A23" s="1" t="s">
        <v>27</v>
      </c>
      <c r="B23" s="1" t="s">
        <v>152</v>
      </c>
      <c r="C23" s="1" t="s">
        <v>138</v>
      </c>
      <c r="D23" s="1" t="s">
        <v>283</v>
      </c>
      <c r="E23" s="1">
        <v>0</v>
      </c>
      <c r="F23" s="1" t="str">
        <f t="shared" si="2"/>
        <v>tross-control-0</v>
      </c>
      <c r="G23" s="2">
        <v>44491</v>
      </c>
      <c r="H23" s="1">
        <v>56</v>
      </c>
      <c r="I23" s="1">
        <v>26</v>
      </c>
      <c r="J23" s="1">
        <v>20</v>
      </c>
      <c r="K23" s="3">
        <f t="shared" si="0"/>
        <v>39</v>
      </c>
      <c r="L23" s="1">
        <v>1</v>
      </c>
      <c r="M23" s="1">
        <v>0</v>
      </c>
      <c r="N23" s="1">
        <f t="shared" si="1"/>
        <v>0</v>
      </c>
      <c r="O23" s="1">
        <v>3</v>
      </c>
      <c r="R23" s="1"/>
    </row>
    <row r="24" spans="1:18" x14ac:dyDescent="0.25">
      <c r="A24" s="1" t="s">
        <v>104</v>
      </c>
      <c r="B24" s="1" t="s">
        <v>152</v>
      </c>
      <c r="C24" s="1" t="s">
        <v>138</v>
      </c>
      <c r="D24" s="1" t="s">
        <v>283</v>
      </c>
      <c r="E24" s="1">
        <v>0</v>
      </c>
      <c r="F24" s="1" t="str">
        <f t="shared" si="2"/>
        <v>tross-control-0</v>
      </c>
      <c r="G24" s="2">
        <v>44491</v>
      </c>
      <c r="H24" s="1">
        <v>56</v>
      </c>
      <c r="I24" s="1">
        <v>26</v>
      </c>
      <c r="J24" s="1">
        <v>19</v>
      </c>
      <c r="K24" s="3">
        <f t="shared" si="0"/>
        <v>37</v>
      </c>
      <c r="L24" s="1">
        <v>1</v>
      </c>
      <c r="M24" s="1">
        <v>0</v>
      </c>
      <c r="N24" s="1">
        <f t="shared" si="1"/>
        <v>0</v>
      </c>
      <c r="O24" s="1">
        <v>13</v>
      </c>
      <c r="R24" s="1"/>
    </row>
    <row r="25" spans="1:18" x14ac:dyDescent="0.25">
      <c r="A25" s="1" t="s">
        <v>105</v>
      </c>
      <c r="B25" s="1" t="s">
        <v>152</v>
      </c>
      <c r="C25" s="1" t="s">
        <v>138</v>
      </c>
      <c r="D25" s="1" t="s">
        <v>283</v>
      </c>
      <c r="E25" s="1">
        <v>0</v>
      </c>
      <c r="F25" s="1" t="str">
        <f t="shared" si="2"/>
        <v>tross-control-0</v>
      </c>
      <c r="G25" s="2">
        <v>44491</v>
      </c>
      <c r="H25" s="1">
        <v>63</v>
      </c>
      <c r="I25" s="1">
        <v>30</v>
      </c>
      <c r="J25" s="1">
        <v>21</v>
      </c>
      <c r="K25" s="3">
        <f t="shared" si="0"/>
        <v>53</v>
      </c>
      <c r="L25" s="1">
        <v>1</v>
      </c>
      <c r="M25" s="1">
        <v>0</v>
      </c>
      <c r="N25" s="1">
        <f t="shared" si="1"/>
        <v>0</v>
      </c>
      <c r="O25" s="1">
        <v>8</v>
      </c>
      <c r="R25" s="1"/>
    </row>
    <row r="26" spans="1:18" x14ac:dyDescent="0.25">
      <c r="A26" s="1" t="s">
        <v>224</v>
      </c>
      <c r="B26" s="1" t="s">
        <v>151</v>
      </c>
      <c r="C26" s="1" t="s">
        <v>138</v>
      </c>
      <c r="D26" s="1" t="s">
        <v>283</v>
      </c>
      <c r="E26" s="1">
        <v>3</v>
      </c>
      <c r="F26" s="1" t="str">
        <f t="shared" si="2"/>
        <v>gallo-control-3</v>
      </c>
      <c r="G26" s="2">
        <v>44498</v>
      </c>
      <c r="H26" s="3">
        <v>61</v>
      </c>
      <c r="I26" s="3">
        <v>35</v>
      </c>
      <c r="J26" s="3">
        <v>22</v>
      </c>
      <c r="K26" s="3">
        <f t="shared" si="0"/>
        <v>63</v>
      </c>
      <c r="L26" s="1">
        <v>0</v>
      </c>
      <c r="M26" s="1">
        <v>1</v>
      </c>
      <c r="N26" s="1">
        <f t="shared" si="1"/>
        <v>0</v>
      </c>
      <c r="P26" s="1">
        <v>9</v>
      </c>
      <c r="R26" s="1"/>
    </row>
    <row r="27" spans="1:18" x14ac:dyDescent="0.25">
      <c r="A27" s="1" t="s">
        <v>225</v>
      </c>
      <c r="B27" s="1" t="s">
        <v>151</v>
      </c>
      <c r="C27" s="1" t="s">
        <v>138</v>
      </c>
      <c r="D27" s="1" t="s">
        <v>283</v>
      </c>
      <c r="E27" s="1">
        <v>3</v>
      </c>
      <c r="F27" s="1" t="str">
        <f t="shared" si="2"/>
        <v>gallo-control-3</v>
      </c>
      <c r="G27" s="2">
        <v>44498</v>
      </c>
      <c r="H27" s="3">
        <v>68</v>
      </c>
      <c r="I27" s="3">
        <v>39</v>
      </c>
      <c r="J27" s="3">
        <v>24</v>
      </c>
      <c r="K27" s="3">
        <f t="shared" si="0"/>
        <v>85</v>
      </c>
      <c r="L27" s="1">
        <v>0</v>
      </c>
      <c r="M27" s="1">
        <v>1</v>
      </c>
      <c r="N27" s="1">
        <f t="shared" si="1"/>
        <v>0</v>
      </c>
      <c r="P27" s="1">
        <v>13</v>
      </c>
      <c r="R27" s="1"/>
    </row>
    <row r="28" spans="1:18" x14ac:dyDescent="0.25">
      <c r="A28" s="1" t="s">
        <v>226</v>
      </c>
      <c r="B28" s="1" t="s">
        <v>151</v>
      </c>
      <c r="C28" s="1" t="s">
        <v>138</v>
      </c>
      <c r="D28" s="1" t="s">
        <v>283</v>
      </c>
      <c r="E28" s="1">
        <v>3</v>
      </c>
      <c r="F28" s="1" t="str">
        <f t="shared" si="2"/>
        <v>gallo-control-3</v>
      </c>
      <c r="G28" s="2">
        <v>44498</v>
      </c>
      <c r="H28" s="3">
        <v>60</v>
      </c>
      <c r="I28" s="3">
        <v>30</v>
      </c>
      <c r="J28" s="3">
        <v>23</v>
      </c>
      <c r="K28" s="3">
        <f t="shared" si="0"/>
        <v>55</v>
      </c>
      <c r="L28" s="1">
        <v>0</v>
      </c>
      <c r="M28" s="1">
        <v>1</v>
      </c>
      <c r="N28" s="1">
        <f t="shared" si="1"/>
        <v>0</v>
      </c>
      <c r="P28" s="1">
        <v>12</v>
      </c>
      <c r="R28" s="1"/>
    </row>
    <row r="29" spans="1:18" x14ac:dyDescent="0.25">
      <c r="A29" s="1" t="s">
        <v>227</v>
      </c>
      <c r="B29" s="1" t="s">
        <v>151</v>
      </c>
      <c r="C29" s="1" t="s">
        <v>138</v>
      </c>
      <c r="D29" s="1" t="s">
        <v>283</v>
      </c>
      <c r="E29" s="1">
        <v>3</v>
      </c>
      <c r="F29" s="1" t="str">
        <f t="shared" si="2"/>
        <v>gallo-control-3</v>
      </c>
      <c r="G29" s="2">
        <v>44498</v>
      </c>
      <c r="H29" s="3">
        <v>66</v>
      </c>
      <c r="I29" s="3">
        <v>39</v>
      </c>
      <c r="J29" s="3">
        <v>23</v>
      </c>
      <c r="K29" s="3">
        <f t="shared" si="0"/>
        <v>79</v>
      </c>
      <c r="L29" s="1">
        <v>0</v>
      </c>
      <c r="M29" s="1">
        <v>1</v>
      </c>
      <c r="N29" s="1">
        <f t="shared" si="1"/>
        <v>0</v>
      </c>
      <c r="P29" s="1">
        <v>17</v>
      </c>
      <c r="R29" s="1"/>
    </row>
    <row r="30" spans="1:18" x14ac:dyDescent="0.25">
      <c r="A30" s="1" t="s">
        <v>228</v>
      </c>
      <c r="B30" s="1" t="s">
        <v>151</v>
      </c>
      <c r="C30" s="1" t="s">
        <v>138</v>
      </c>
      <c r="D30" s="1" t="s">
        <v>283</v>
      </c>
      <c r="E30" s="1">
        <v>3</v>
      </c>
      <c r="F30" s="1" t="str">
        <f t="shared" si="2"/>
        <v>gallo-control-3</v>
      </c>
      <c r="G30" s="2">
        <v>44498</v>
      </c>
      <c r="H30" s="3">
        <v>59</v>
      </c>
      <c r="I30" s="3">
        <v>35</v>
      </c>
      <c r="J30" s="3">
        <v>21</v>
      </c>
      <c r="K30" s="3">
        <f t="shared" si="0"/>
        <v>58</v>
      </c>
      <c r="L30" s="1">
        <v>0</v>
      </c>
      <c r="M30" s="1">
        <v>1</v>
      </c>
      <c r="N30" s="1">
        <f t="shared" si="1"/>
        <v>0</v>
      </c>
      <c r="P30" s="1">
        <v>7</v>
      </c>
      <c r="R30" s="1"/>
    </row>
    <row r="31" spans="1:18" x14ac:dyDescent="0.25">
      <c r="A31" s="1" t="s">
        <v>229</v>
      </c>
      <c r="B31" s="1" t="s">
        <v>151</v>
      </c>
      <c r="C31" s="1" t="s">
        <v>138</v>
      </c>
      <c r="D31" s="1" t="s">
        <v>283</v>
      </c>
      <c r="E31" s="1">
        <v>3</v>
      </c>
      <c r="F31" s="1" t="str">
        <f t="shared" si="2"/>
        <v>gallo-control-3</v>
      </c>
      <c r="G31" s="2">
        <v>44498</v>
      </c>
      <c r="H31" s="3">
        <v>72</v>
      </c>
      <c r="I31" s="3">
        <v>37</v>
      </c>
      <c r="J31" s="3">
        <v>26</v>
      </c>
      <c r="K31" s="3">
        <f t="shared" si="0"/>
        <v>92</v>
      </c>
      <c r="L31" s="1">
        <v>0</v>
      </c>
      <c r="M31" s="1">
        <v>1</v>
      </c>
      <c r="N31" s="1">
        <f t="shared" si="1"/>
        <v>0</v>
      </c>
      <c r="P31" s="1">
        <v>11</v>
      </c>
    </row>
    <row r="32" spans="1:18" x14ac:dyDescent="0.25">
      <c r="A32" s="1" t="s">
        <v>230</v>
      </c>
      <c r="B32" s="1" t="s">
        <v>151</v>
      </c>
      <c r="C32" s="1" t="s">
        <v>138</v>
      </c>
      <c r="D32" s="1" t="s">
        <v>283</v>
      </c>
      <c r="E32" s="1">
        <v>3</v>
      </c>
      <c r="F32" s="1" t="str">
        <f t="shared" si="2"/>
        <v>gallo-control-3</v>
      </c>
      <c r="G32" s="2">
        <v>44498</v>
      </c>
      <c r="H32" s="3">
        <v>68</v>
      </c>
      <c r="I32" s="3">
        <v>39</v>
      </c>
      <c r="J32" s="3">
        <v>25</v>
      </c>
      <c r="K32" s="3">
        <f t="shared" si="0"/>
        <v>88</v>
      </c>
      <c r="L32" s="1">
        <v>0</v>
      </c>
      <c r="M32" s="1">
        <v>1</v>
      </c>
      <c r="N32" s="1">
        <f t="shared" si="1"/>
        <v>0</v>
      </c>
      <c r="P32" s="1">
        <v>8</v>
      </c>
    </row>
    <row r="33" spans="1:16" x14ac:dyDescent="0.25">
      <c r="A33" s="1" t="s">
        <v>231</v>
      </c>
      <c r="B33" s="1" t="s">
        <v>151</v>
      </c>
      <c r="C33" s="1" t="s">
        <v>138</v>
      </c>
      <c r="D33" s="1" t="s">
        <v>283</v>
      </c>
      <c r="E33" s="1">
        <v>3</v>
      </c>
      <c r="F33" s="1" t="str">
        <f t="shared" si="2"/>
        <v>gallo-control-3</v>
      </c>
      <c r="G33" s="2">
        <v>44498</v>
      </c>
      <c r="H33" s="3">
        <v>62</v>
      </c>
      <c r="I33" s="3">
        <v>30</v>
      </c>
      <c r="J33" s="3">
        <v>23</v>
      </c>
      <c r="K33" s="3">
        <f t="shared" si="0"/>
        <v>57</v>
      </c>
      <c r="L33" s="1">
        <v>0</v>
      </c>
      <c r="M33" s="1">
        <v>1</v>
      </c>
      <c r="N33" s="1">
        <f t="shared" si="1"/>
        <v>0</v>
      </c>
      <c r="P33" s="1">
        <v>11</v>
      </c>
    </row>
    <row r="34" spans="1:16" x14ac:dyDescent="0.25">
      <c r="A34" s="1" t="s">
        <v>232</v>
      </c>
      <c r="B34" s="1" t="s">
        <v>151</v>
      </c>
      <c r="C34" s="1" t="s">
        <v>138</v>
      </c>
      <c r="D34" s="1" t="s">
        <v>283</v>
      </c>
      <c r="E34" s="1">
        <v>3</v>
      </c>
      <c r="F34" s="1" t="str">
        <f t="shared" si="2"/>
        <v>gallo-control-3</v>
      </c>
      <c r="G34" s="2">
        <v>44498</v>
      </c>
      <c r="H34" s="3">
        <v>68</v>
      </c>
      <c r="I34" s="3">
        <v>38</v>
      </c>
      <c r="J34" s="3">
        <v>27</v>
      </c>
      <c r="K34" s="3">
        <f t="shared" ref="K34:K65" si="3">ROUND((4/3)*(H34/10)*(I34/10)*(J34/10),0)</f>
        <v>93</v>
      </c>
      <c r="L34" s="1">
        <v>0</v>
      </c>
      <c r="M34" s="1">
        <v>1</v>
      </c>
      <c r="N34" s="1">
        <f t="shared" ref="N34:N65" si="4">IF(L34+M34=2,1,0)</f>
        <v>0</v>
      </c>
      <c r="P34" s="1">
        <v>26</v>
      </c>
    </row>
    <row r="35" spans="1:16" x14ac:dyDescent="0.25">
      <c r="A35" s="1" t="s">
        <v>233</v>
      </c>
      <c r="B35" s="1" t="s">
        <v>151</v>
      </c>
      <c r="C35" s="1" t="s">
        <v>138</v>
      </c>
      <c r="D35" s="1" t="s">
        <v>283</v>
      </c>
      <c r="E35" s="1">
        <v>3</v>
      </c>
      <c r="F35" s="1" t="str">
        <f t="shared" si="2"/>
        <v>gallo-control-3</v>
      </c>
      <c r="G35" s="2">
        <v>44498</v>
      </c>
      <c r="H35" s="3">
        <v>71</v>
      </c>
      <c r="I35" s="3">
        <v>36</v>
      </c>
      <c r="J35" s="3">
        <v>25</v>
      </c>
      <c r="K35" s="3">
        <f t="shared" si="3"/>
        <v>85</v>
      </c>
      <c r="L35" s="1">
        <v>0</v>
      </c>
      <c r="M35" s="1">
        <v>1</v>
      </c>
      <c r="N35" s="1">
        <f t="shared" si="4"/>
        <v>0</v>
      </c>
      <c r="P35" s="1">
        <v>5</v>
      </c>
    </row>
    <row r="36" spans="1:16" x14ac:dyDescent="0.25">
      <c r="A36" s="1" t="s">
        <v>234</v>
      </c>
      <c r="B36" s="1" t="s">
        <v>151</v>
      </c>
      <c r="C36" s="1" t="s">
        <v>138</v>
      </c>
      <c r="D36" s="1" t="s">
        <v>283</v>
      </c>
      <c r="E36" s="1">
        <v>3</v>
      </c>
      <c r="F36" s="1" t="str">
        <f t="shared" si="2"/>
        <v>gallo-control-3</v>
      </c>
      <c r="G36" s="2">
        <v>44498</v>
      </c>
      <c r="H36" s="3">
        <v>51</v>
      </c>
      <c r="I36" s="3">
        <v>27</v>
      </c>
      <c r="J36" s="3">
        <v>19</v>
      </c>
      <c r="K36" s="3">
        <f t="shared" si="3"/>
        <v>35</v>
      </c>
      <c r="L36" s="1">
        <v>0</v>
      </c>
      <c r="M36" s="1">
        <v>0</v>
      </c>
      <c r="N36" s="1">
        <f t="shared" si="4"/>
        <v>0</v>
      </c>
    </row>
    <row r="37" spans="1:16" x14ac:dyDescent="0.25">
      <c r="A37" s="1" t="s">
        <v>235</v>
      </c>
      <c r="B37" s="1" t="s">
        <v>151</v>
      </c>
      <c r="C37" s="1" t="s">
        <v>138</v>
      </c>
      <c r="D37" s="1" t="s">
        <v>283</v>
      </c>
      <c r="E37" s="1">
        <v>3</v>
      </c>
      <c r="F37" s="1" t="str">
        <f t="shared" si="2"/>
        <v>gallo-control-3</v>
      </c>
      <c r="G37" s="2">
        <v>44498</v>
      </c>
      <c r="H37" s="3">
        <v>48</v>
      </c>
      <c r="I37" s="3">
        <v>23</v>
      </c>
      <c r="J37" s="3">
        <v>16</v>
      </c>
      <c r="K37" s="3">
        <f t="shared" si="3"/>
        <v>24</v>
      </c>
      <c r="L37" s="1">
        <v>0</v>
      </c>
      <c r="M37" s="1">
        <v>0</v>
      </c>
      <c r="N37" s="1">
        <f t="shared" si="4"/>
        <v>0</v>
      </c>
    </row>
    <row r="38" spans="1:16" x14ac:dyDescent="0.25">
      <c r="A38" s="1" t="s">
        <v>211</v>
      </c>
      <c r="B38" s="1" t="s">
        <v>152</v>
      </c>
      <c r="C38" s="1" t="s">
        <v>138</v>
      </c>
      <c r="D38" s="1" t="s">
        <v>283</v>
      </c>
      <c r="E38" s="1">
        <v>3</v>
      </c>
      <c r="F38" s="1" t="str">
        <f t="shared" si="2"/>
        <v>tross-control-3</v>
      </c>
      <c r="G38" s="2">
        <v>44498</v>
      </c>
      <c r="H38" s="3">
        <v>61</v>
      </c>
      <c r="I38" s="3">
        <v>26</v>
      </c>
      <c r="J38" s="3">
        <v>20</v>
      </c>
      <c r="K38" s="3">
        <f t="shared" si="3"/>
        <v>42</v>
      </c>
      <c r="L38" s="1">
        <v>0</v>
      </c>
      <c r="M38" s="1">
        <v>1</v>
      </c>
      <c r="N38" s="1">
        <f t="shared" si="4"/>
        <v>0</v>
      </c>
      <c r="P38" s="1">
        <v>12</v>
      </c>
    </row>
    <row r="39" spans="1:16" x14ac:dyDescent="0.25">
      <c r="A39" s="1" t="s">
        <v>212</v>
      </c>
      <c r="B39" s="1" t="s">
        <v>152</v>
      </c>
      <c r="C39" s="1" t="s">
        <v>138</v>
      </c>
      <c r="D39" s="1" t="s">
        <v>283</v>
      </c>
      <c r="E39" s="1">
        <v>3</v>
      </c>
      <c r="F39" s="1" t="str">
        <f t="shared" si="2"/>
        <v>tross-control-3</v>
      </c>
      <c r="G39" s="2">
        <v>44498</v>
      </c>
      <c r="H39" s="3">
        <v>60</v>
      </c>
      <c r="I39" s="3">
        <v>27</v>
      </c>
      <c r="J39" s="3">
        <v>20</v>
      </c>
      <c r="K39" s="3">
        <f t="shared" si="3"/>
        <v>43</v>
      </c>
      <c r="L39" s="1">
        <v>0</v>
      </c>
      <c r="M39" s="1">
        <v>1</v>
      </c>
      <c r="N39" s="1">
        <f t="shared" si="4"/>
        <v>0</v>
      </c>
      <c r="P39" s="1">
        <v>2</v>
      </c>
    </row>
    <row r="40" spans="1:16" x14ac:dyDescent="0.25">
      <c r="A40" s="1" t="s">
        <v>213</v>
      </c>
      <c r="B40" s="1" t="s">
        <v>152</v>
      </c>
      <c r="C40" s="1" t="s">
        <v>138</v>
      </c>
      <c r="D40" s="1" t="s">
        <v>283</v>
      </c>
      <c r="E40" s="1">
        <v>3</v>
      </c>
      <c r="F40" s="1" t="str">
        <f t="shared" si="2"/>
        <v>tross-control-3</v>
      </c>
      <c r="G40" s="2">
        <v>44498</v>
      </c>
      <c r="H40" s="3">
        <v>63</v>
      </c>
      <c r="I40" s="3">
        <v>28</v>
      </c>
      <c r="J40" s="3">
        <v>22</v>
      </c>
      <c r="K40" s="3">
        <f t="shared" si="3"/>
        <v>52</v>
      </c>
      <c r="L40" s="1">
        <v>0</v>
      </c>
      <c r="M40" s="1">
        <v>1</v>
      </c>
      <c r="N40" s="1">
        <f t="shared" si="4"/>
        <v>0</v>
      </c>
      <c r="P40" s="1">
        <v>21</v>
      </c>
    </row>
    <row r="41" spans="1:16" x14ac:dyDescent="0.25">
      <c r="A41" s="1" t="s">
        <v>214</v>
      </c>
      <c r="B41" s="1" t="s">
        <v>152</v>
      </c>
      <c r="C41" s="1" t="s">
        <v>138</v>
      </c>
      <c r="D41" s="1" t="s">
        <v>283</v>
      </c>
      <c r="E41" s="1">
        <v>3</v>
      </c>
      <c r="F41" s="1" t="str">
        <f t="shared" si="2"/>
        <v>tross-control-3</v>
      </c>
      <c r="G41" s="2">
        <v>44498</v>
      </c>
      <c r="H41" s="3">
        <v>60</v>
      </c>
      <c r="I41" s="3">
        <v>28</v>
      </c>
      <c r="J41" s="3">
        <v>20</v>
      </c>
      <c r="K41" s="3">
        <f t="shared" si="3"/>
        <v>45</v>
      </c>
      <c r="L41" s="1">
        <v>0</v>
      </c>
      <c r="M41" s="1">
        <v>1</v>
      </c>
      <c r="N41" s="1">
        <f t="shared" si="4"/>
        <v>0</v>
      </c>
      <c r="P41" s="1">
        <v>7</v>
      </c>
    </row>
    <row r="42" spans="1:16" x14ac:dyDescent="0.25">
      <c r="A42" s="1" t="s">
        <v>215</v>
      </c>
      <c r="B42" s="1" t="s">
        <v>152</v>
      </c>
      <c r="C42" s="1" t="s">
        <v>138</v>
      </c>
      <c r="D42" s="1" t="s">
        <v>283</v>
      </c>
      <c r="E42" s="1">
        <v>3</v>
      </c>
      <c r="F42" s="1" t="str">
        <f t="shared" si="2"/>
        <v>tross-control-3</v>
      </c>
      <c r="G42" s="2">
        <v>44498</v>
      </c>
      <c r="H42" s="3">
        <v>54</v>
      </c>
      <c r="I42" s="3">
        <v>25</v>
      </c>
      <c r="J42" s="3">
        <v>16</v>
      </c>
      <c r="K42" s="3">
        <f t="shared" si="3"/>
        <v>29</v>
      </c>
      <c r="L42" s="1">
        <v>0</v>
      </c>
      <c r="M42" s="1">
        <v>1</v>
      </c>
      <c r="N42" s="1">
        <f t="shared" si="4"/>
        <v>0</v>
      </c>
      <c r="P42" s="1">
        <v>7</v>
      </c>
    </row>
    <row r="43" spans="1:16" x14ac:dyDescent="0.25">
      <c r="A43" s="1" t="s">
        <v>216</v>
      </c>
      <c r="B43" s="1" t="s">
        <v>152</v>
      </c>
      <c r="C43" s="1" t="s">
        <v>138</v>
      </c>
      <c r="D43" s="1" t="s">
        <v>283</v>
      </c>
      <c r="E43" s="1">
        <v>3</v>
      </c>
      <c r="F43" s="1" t="str">
        <f t="shared" si="2"/>
        <v>tross-control-3</v>
      </c>
      <c r="G43" s="2">
        <v>44498</v>
      </c>
      <c r="H43" s="3">
        <v>61</v>
      </c>
      <c r="I43" s="3">
        <v>28</v>
      </c>
      <c r="J43" s="3">
        <v>20</v>
      </c>
      <c r="K43" s="3">
        <f t="shared" si="3"/>
        <v>46</v>
      </c>
      <c r="L43" s="1">
        <v>0</v>
      </c>
      <c r="M43" s="1">
        <v>1</v>
      </c>
      <c r="N43" s="1">
        <f t="shared" si="4"/>
        <v>0</v>
      </c>
      <c r="P43" s="1">
        <v>6</v>
      </c>
    </row>
    <row r="44" spans="1:16" x14ac:dyDescent="0.25">
      <c r="A44" s="1" t="s">
        <v>217</v>
      </c>
      <c r="B44" s="1" t="s">
        <v>152</v>
      </c>
      <c r="C44" s="1" t="s">
        <v>138</v>
      </c>
      <c r="D44" s="1" t="s">
        <v>283</v>
      </c>
      <c r="E44" s="1">
        <v>3</v>
      </c>
      <c r="F44" s="1" t="str">
        <f t="shared" si="2"/>
        <v>tross-control-3</v>
      </c>
      <c r="G44" s="2">
        <v>44498</v>
      </c>
      <c r="H44" s="3">
        <v>53</v>
      </c>
      <c r="I44" s="3">
        <v>25</v>
      </c>
      <c r="J44" s="3">
        <v>18</v>
      </c>
      <c r="K44" s="3">
        <f t="shared" si="3"/>
        <v>32</v>
      </c>
      <c r="L44" s="1">
        <v>0</v>
      </c>
      <c r="M44" s="1">
        <v>1</v>
      </c>
      <c r="N44" s="1">
        <f t="shared" si="4"/>
        <v>0</v>
      </c>
      <c r="P44" s="1">
        <v>2</v>
      </c>
    </row>
    <row r="45" spans="1:16" x14ac:dyDescent="0.25">
      <c r="A45" s="1" t="s">
        <v>218</v>
      </c>
      <c r="B45" s="1" t="s">
        <v>152</v>
      </c>
      <c r="C45" s="1" t="s">
        <v>138</v>
      </c>
      <c r="D45" s="1" t="s">
        <v>283</v>
      </c>
      <c r="E45" s="1">
        <v>3</v>
      </c>
      <c r="F45" s="1" t="str">
        <f t="shared" si="2"/>
        <v>tross-control-3</v>
      </c>
      <c r="G45" s="2">
        <v>44498</v>
      </c>
      <c r="H45" s="3">
        <v>55</v>
      </c>
      <c r="I45" s="3">
        <v>26</v>
      </c>
      <c r="J45" s="3">
        <v>19</v>
      </c>
      <c r="K45" s="3">
        <f t="shared" si="3"/>
        <v>36</v>
      </c>
      <c r="L45" s="1">
        <v>0</v>
      </c>
      <c r="M45" s="1">
        <v>1</v>
      </c>
      <c r="N45" s="1">
        <f t="shared" si="4"/>
        <v>0</v>
      </c>
      <c r="P45" s="1">
        <v>1</v>
      </c>
    </row>
    <row r="46" spans="1:16" x14ac:dyDescent="0.25">
      <c r="A46" s="1" t="s">
        <v>219</v>
      </c>
      <c r="B46" s="1" t="s">
        <v>152</v>
      </c>
      <c r="C46" s="1" t="s">
        <v>138</v>
      </c>
      <c r="D46" s="1" t="s">
        <v>283</v>
      </c>
      <c r="E46" s="1">
        <v>3</v>
      </c>
      <c r="F46" s="1" t="str">
        <f t="shared" si="2"/>
        <v>tross-control-3</v>
      </c>
      <c r="G46" s="2">
        <v>44498</v>
      </c>
      <c r="H46" s="3">
        <v>65</v>
      </c>
      <c r="I46" s="3">
        <v>28</v>
      </c>
      <c r="J46" s="3">
        <v>22</v>
      </c>
      <c r="K46" s="3">
        <f t="shared" si="3"/>
        <v>53</v>
      </c>
      <c r="L46" s="1">
        <v>0</v>
      </c>
      <c r="M46" s="1">
        <v>1</v>
      </c>
      <c r="N46" s="1">
        <f t="shared" si="4"/>
        <v>0</v>
      </c>
      <c r="P46" s="1">
        <v>8</v>
      </c>
    </row>
    <row r="47" spans="1:16" x14ac:dyDescent="0.25">
      <c r="A47" s="1" t="s">
        <v>220</v>
      </c>
      <c r="B47" s="1" t="s">
        <v>152</v>
      </c>
      <c r="C47" s="1" t="s">
        <v>138</v>
      </c>
      <c r="D47" s="1" t="s">
        <v>283</v>
      </c>
      <c r="E47" s="1">
        <v>3</v>
      </c>
      <c r="F47" s="1" t="str">
        <f t="shared" si="2"/>
        <v>tross-control-3</v>
      </c>
      <c r="G47" s="2">
        <v>44498</v>
      </c>
      <c r="H47" s="3">
        <v>64</v>
      </c>
      <c r="I47" s="3">
        <v>30</v>
      </c>
      <c r="J47" s="3">
        <v>24</v>
      </c>
      <c r="K47" s="3">
        <f t="shared" si="3"/>
        <v>61</v>
      </c>
      <c r="L47" s="1">
        <v>0</v>
      </c>
      <c r="M47" s="1">
        <v>1</v>
      </c>
      <c r="N47" s="1">
        <f t="shared" si="4"/>
        <v>0</v>
      </c>
      <c r="P47" s="1">
        <v>5</v>
      </c>
    </row>
    <row r="48" spans="1:16" x14ac:dyDescent="0.25">
      <c r="A48" s="1" t="s">
        <v>221</v>
      </c>
      <c r="B48" s="1" t="s">
        <v>152</v>
      </c>
      <c r="C48" s="1" t="s">
        <v>138</v>
      </c>
      <c r="D48" s="1" t="s">
        <v>283</v>
      </c>
      <c r="E48" s="1">
        <v>3</v>
      </c>
      <c r="F48" s="1" t="str">
        <f t="shared" si="2"/>
        <v>tross-control-3</v>
      </c>
      <c r="G48" s="2">
        <v>44498</v>
      </c>
      <c r="H48" s="3">
        <v>59</v>
      </c>
      <c r="I48" s="3">
        <v>26</v>
      </c>
      <c r="J48" s="3">
        <v>20</v>
      </c>
      <c r="K48" s="3">
        <f t="shared" si="3"/>
        <v>41</v>
      </c>
      <c r="L48" s="1">
        <v>0</v>
      </c>
      <c r="M48" s="1">
        <v>0</v>
      </c>
      <c r="N48" s="1">
        <f t="shared" si="4"/>
        <v>0</v>
      </c>
    </row>
    <row r="49" spans="1:14" x14ac:dyDescent="0.25">
      <c r="A49" s="1" t="s">
        <v>222</v>
      </c>
      <c r="B49" s="1" t="s">
        <v>152</v>
      </c>
      <c r="C49" s="1" t="s">
        <v>138</v>
      </c>
      <c r="D49" s="1" t="s">
        <v>283</v>
      </c>
      <c r="E49" s="1">
        <v>3</v>
      </c>
      <c r="F49" s="1" t="str">
        <f t="shared" si="2"/>
        <v>tross-control-3</v>
      </c>
      <c r="G49" s="2">
        <v>44498</v>
      </c>
      <c r="H49" s="3">
        <v>56</v>
      </c>
      <c r="I49" s="3">
        <v>25</v>
      </c>
      <c r="J49" s="3">
        <v>21</v>
      </c>
      <c r="K49" s="3">
        <f t="shared" si="3"/>
        <v>39</v>
      </c>
      <c r="L49" s="1">
        <v>0</v>
      </c>
      <c r="M49" s="1">
        <v>0</v>
      </c>
      <c r="N49" s="1">
        <f t="shared" si="4"/>
        <v>0</v>
      </c>
    </row>
    <row r="50" spans="1:14" x14ac:dyDescent="0.25">
      <c r="A50" s="1" t="s">
        <v>223</v>
      </c>
      <c r="B50" s="1" t="s">
        <v>152</v>
      </c>
      <c r="C50" s="1" t="s">
        <v>138</v>
      </c>
      <c r="D50" s="1" t="s">
        <v>247</v>
      </c>
      <c r="E50" s="1" t="s">
        <v>248</v>
      </c>
      <c r="F50" s="1" t="str">
        <f t="shared" si="2"/>
        <v>tross-desiccation-24h</v>
      </c>
      <c r="G50" s="2">
        <v>44501</v>
      </c>
      <c r="H50" s="3">
        <v>59</v>
      </c>
      <c r="I50" s="3">
        <v>26</v>
      </c>
      <c r="J50" s="3">
        <v>19</v>
      </c>
      <c r="K50" s="3">
        <f t="shared" si="3"/>
        <v>39</v>
      </c>
      <c r="L50" s="1">
        <v>0</v>
      </c>
      <c r="M50" s="1">
        <v>0</v>
      </c>
      <c r="N50" s="1">
        <f t="shared" si="4"/>
        <v>0</v>
      </c>
    </row>
    <row r="51" spans="1:14" x14ac:dyDescent="0.25">
      <c r="A51" s="1" t="s">
        <v>236</v>
      </c>
      <c r="B51" s="1" t="s">
        <v>152</v>
      </c>
      <c r="C51" s="1" t="s">
        <v>138</v>
      </c>
      <c r="D51" s="1" t="s">
        <v>247</v>
      </c>
      <c r="E51" s="1" t="s">
        <v>248</v>
      </c>
      <c r="F51" s="1" t="str">
        <f t="shared" si="2"/>
        <v>tross-desiccation-24h</v>
      </c>
      <c r="G51" s="2">
        <v>44501</v>
      </c>
      <c r="H51" s="3">
        <v>60</v>
      </c>
      <c r="I51" s="3">
        <v>28</v>
      </c>
      <c r="J51" s="3">
        <v>20</v>
      </c>
      <c r="K51" s="3">
        <f t="shared" si="3"/>
        <v>45</v>
      </c>
      <c r="L51" s="1">
        <v>0</v>
      </c>
      <c r="M51" s="1">
        <v>0</v>
      </c>
      <c r="N51" s="1">
        <f t="shared" si="4"/>
        <v>0</v>
      </c>
    </row>
    <row r="52" spans="1:14" x14ac:dyDescent="0.25">
      <c r="A52" s="1" t="s">
        <v>237</v>
      </c>
      <c r="B52" s="1" t="s">
        <v>152</v>
      </c>
      <c r="C52" s="1" t="s">
        <v>138</v>
      </c>
      <c r="D52" s="1" t="s">
        <v>247</v>
      </c>
      <c r="E52" s="1" t="s">
        <v>248</v>
      </c>
      <c r="F52" s="1" t="str">
        <f t="shared" si="2"/>
        <v>tross-desiccation-24h</v>
      </c>
      <c r="G52" s="2">
        <v>44501</v>
      </c>
      <c r="H52" s="3">
        <v>52</v>
      </c>
      <c r="I52" s="3">
        <v>25</v>
      </c>
      <c r="J52" s="3">
        <v>18</v>
      </c>
      <c r="K52" s="3">
        <f t="shared" si="3"/>
        <v>31</v>
      </c>
      <c r="L52" s="1">
        <v>0</v>
      </c>
      <c r="M52" s="1">
        <v>0</v>
      </c>
      <c r="N52" s="1">
        <f t="shared" si="4"/>
        <v>0</v>
      </c>
    </row>
    <row r="53" spans="1:14" x14ac:dyDescent="0.25">
      <c r="A53" s="1" t="s">
        <v>238</v>
      </c>
      <c r="B53" s="1" t="s">
        <v>152</v>
      </c>
      <c r="C53" s="1" t="s">
        <v>138</v>
      </c>
      <c r="D53" s="1" t="s">
        <v>247</v>
      </c>
      <c r="E53" s="1" t="s">
        <v>248</v>
      </c>
      <c r="F53" s="1" t="str">
        <f t="shared" si="2"/>
        <v>tross-desiccation-24h</v>
      </c>
      <c r="G53" s="2">
        <v>44501</v>
      </c>
      <c r="H53" s="3">
        <v>66</v>
      </c>
      <c r="I53" s="3">
        <v>29</v>
      </c>
      <c r="J53" s="3">
        <v>22</v>
      </c>
      <c r="K53" s="3">
        <f t="shared" si="3"/>
        <v>56</v>
      </c>
      <c r="L53" s="1">
        <v>0</v>
      </c>
      <c r="M53" s="1">
        <v>0</v>
      </c>
      <c r="N53" s="1">
        <f t="shared" si="4"/>
        <v>0</v>
      </c>
    </row>
    <row r="54" spans="1:14" x14ac:dyDescent="0.25">
      <c r="A54" s="1" t="s">
        <v>239</v>
      </c>
      <c r="B54" s="1" t="s">
        <v>152</v>
      </c>
      <c r="C54" s="1" t="s">
        <v>138</v>
      </c>
      <c r="D54" s="1" t="s">
        <v>247</v>
      </c>
      <c r="E54" s="1" t="s">
        <v>248</v>
      </c>
      <c r="F54" s="1" t="str">
        <f t="shared" si="2"/>
        <v>tross-desiccation-24h</v>
      </c>
      <c r="G54" s="2">
        <v>44501</v>
      </c>
      <c r="H54" s="3">
        <v>57</v>
      </c>
      <c r="I54" s="3">
        <v>27</v>
      </c>
      <c r="J54" s="3">
        <v>19</v>
      </c>
      <c r="K54" s="3">
        <f t="shared" si="3"/>
        <v>39</v>
      </c>
      <c r="L54" s="1">
        <v>0</v>
      </c>
      <c r="M54" s="1">
        <v>0</v>
      </c>
      <c r="N54" s="1">
        <f t="shared" si="4"/>
        <v>0</v>
      </c>
    </row>
    <row r="55" spans="1:14" x14ac:dyDescent="0.25">
      <c r="A55" s="1" t="s">
        <v>240</v>
      </c>
      <c r="B55" s="1" t="s">
        <v>152</v>
      </c>
      <c r="C55" s="1" t="s">
        <v>138</v>
      </c>
      <c r="D55" s="1" t="s">
        <v>247</v>
      </c>
      <c r="E55" s="1" t="s">
        <v>248</v>
      </c>
      <c r="F55" s="1" t="str">
        <f t="shared" si="2"/>
        <v>tross-desiccation-24h</v>
      </c>
      <c r="G55" s="2">
        <v>44501</v>
      </c>
      <c r="H55" s="3">
        <v>59</v>
      </c>
      <c r="I55" s="3">
        <v>25</v>
      </c>
      <c r="J55" s="3">
        <v>18</v>
      </c>
      <c r="K55" s="3">
        <f t="shared" si="3"/>
        <v>35</v>
      </c>
      <c r="L55" s="1">
        <v>0</v>
      </c>
      <c r="M55" s="1">
        <v>0</v>
      </c>
      <c r="N55" s="1">
        <f t="shared" si="4"/>
        <v>0</v>
      </c>
    </row>
    <row r="56" spans="1:14" x14ac:dyDescent="0.25">
      <c r="A56" s="1" t="s">
        <v>241</v>
      </c>
      <c r="B56" s="1" t="s">
        <v>152</v>
      </c>
      <c r="C56" s="1" t="s">
        <v>138</v>
      </c>
      <c r="D56" s="1" t="s">
        <v>247</v>
      </c>
      <c r="E56" s="1" t="s">
        <v>248</v>
      </c>
      <c r="F56" s="1" t="str">
        <f t="shared" si="2"/>
        <v>tross-desiccation-24h</v>
      </c>
      <c r="G56" s="2">
        <v>44501</v>
      </c>
      <c r="H56" s="3">
        <v>58</v>
      </c>
      <c r="I56" s="3">
        <v>25</v>
      </c>
      <c r="J56" s="3">
        <v>21</v>
      </c>
      <c r="K56" s="3">
        <f t="shared" si="3"/>
        <v>41</v>
      </c>
      <c r="L56" s="1">
        <v>0</v>
      </c>
      <c r="M56" s="1">
        <v>0</v>
      </c>
      <c r="N56" s="1">
        <f t="shared" si="4"/>
        <v>0</v>
      </c>
    </row>
    <row r="57" spans="1:14" x14ac:dyDescent="0.25">
      <c r="A57" s="1" t="s">
        <v>242</v>
      </c>
      <c r="B57" s="1" t="s">
        <v>152</v>
      </c>
      <c r="C57" s="1" t="s">
        <v>138</v>
      </c>
      <c r="D57" s="1" t="s">
        <v>247</v>
      </c>
      <c r="E57" s="1" t="s">
        <v>248</v>
      </c>
      <c r="F57" s="1" t="str">
        <f t="shared" si="2"/>
        <v>tross-desiccation-24h</v>
      </c>
      <c r="G57" s="2">
        <v>44501</v>
      </c>
      <c r="H57" s="3">
        <v>63</v>
      </c>
      <c r="I57" s="3">
        <v>29</v>
      </c>
      <c r="J57" s="3">
        <v>22</v>
      </c>
      <c r="K57" s="3">
        <f t="shared" si="3"/>
        <v>54</v>
      </c>
      <c r="L57" s="1">
        <v>0</v>
      </c>
      <c r="M57" s="1">
        <v>0</v>
      </c>
      <c r="N57" s="1">
        <f t="shared" si="4"/>
        <v>0</v>
      </c>
    </row>
    <row r="58" spans="1:14" x14ac:dyDescent="0.25">
      <c r="A58" s="1" t="s">
        <v>243</v>
      </c>
      <c r="B58" s="1" t="s">
        <v>152</v>
      </c>
      <c r="C58" s="1" t="s">
        <v>138</v>
      </c>
      <c r="D58" s="1" t="s">
        <v>247</v>
      </c>
      <c r="E58" s="1" t="s">
        <v>248</v>
      </c>
      <c r="F58" s="1" t="str">
        <f t="shared" si="2"/>
        <v>tross-desiccation-24h</v>
      </c>
      <c r="G58" s="2">
        <v>44501</v>
      </c>
      <c r="H58" s="3">
        <v>59</v>
      </c>
      <c r="I58" s="3">
        <v>25</v>
      </c>
      <c r="J58" s="3">
        <v>18</v>
      </c>
      <c r="K58" s="3">
        <f t="shared" si="3"/>
        <v>35</v>
      </c>
      <c r="L58" s="1">
        <v>0</v>
      </c>
      <c r="M58" s="1">
        <v>0</v>
      </c>
      <c r="N58" s="1">
        <f t="shared" si="4"/>
        <v>0</v>
      </c>
    </row>
    <row r="59" spans="1:14" x14ac:dyDescent="0.25">
      <c r="A59" s="1" t="s">
        <v>244</v>
      </c>
      <c r="B59" s="1" t="s">
        <v>152</v>
      </c>
      <c r="C59" s="1" t="s">
        <v>138</v>
      </c>
      <c r="D59" s="1" t="s">
        <v>247</v>
      </c>
      <c r="E59" s="1" t="s">
        <v>248</v>
      </c>
      <c r="F59" s="1" t="str">
        <f t="shared" si="2"/>
        <v>tross-desiccation-24h</v>
      </c>
      <c r="G59" s="2">
        <v>44501</v>
      </c>
      <c r="H59" s="3">
        <v>66</v>
      </c>
      <c r="I59" s="3">
        <v>32</v>
      </c>
      <c r="J59" s="3">
        <v>22</v>
      </c>
      <c r="K59" s="3">
        <f t="shared" si="3"/>
        <v>62</v>
      </c>
      <c r="L59" s="1">
        <v>0</v>
      </c>
      <c r="M59" s="1">
        <v>0</v>
      </c>
      <c r="N59" s="1">
        <f t="shared" si="4"/>
        <v>0</v>
      </c>
    </row>
    <row r="60" spans="1:14" x14ac:dyDescent="0.25">
      <c r="A60" s="1" t="s">
        <v>245</v>
      </c>
      <c r="B60" s="1" t="s">
        <v>152</v>
      </c>
      <c r="C60" s="1" t="s">
        <v>138</v>
      </c>
      <c r="D60" s="1" t="s">
        <v>247</v>
      </c>
      <c r="E60" s="1" t="s">
        <v>248</v>
      </c>
      <c r="F60" s="1" t="str">
        <f t="shared" si="2"/>
        <v>tross-desiccation-24h</v>
      </c>
      <c r="G60" s="2">
        <v>44501</v>
      </c>
      <c r="H60" s="3">
        <v>62</v>
      </c>
      <c r="I60" s="3">
        <v>29</v>
      </c>
      <c r="J60" s="3">
        <v>23</v>
      </c>
      <c r="K60" s="3">
        <f t="shared" si="3"/>
        <v>55</v>
      </c>
      <c r="L60" s="1">
        <v>0</v>
      </c>
      <c r="M60" s="1">
        <v>0</v>
      </c>
      <c r="N60" s="1">
        <f t="shared" si="4"/>
        <v>0</v>
      </c>
    </row>
    <row r="61" spans="1:14" x14ac:dyDescent="0.25">
      <c r="A61" s="1" t="s">
        <v>246</v>
      </c>
      <c r="B61" s="1" t="s">
        <v>152</v>
      </c>
      <c r="C61" s="1" t="s">
        <v>138</v>
      </c>
      <c r="D61" s="1" t="s">
        <v>247</v>
      </c>
      <c r="E61" s="1" t="s">
        <v>248</v>
      </c>
      <c r="F61" s="1" t="str">
        <f t="shared" si="2"/>
        <v>tross-desiccation-24h</v>
      </c>
      <c r="G61" s="2">
        <v>44501</v>
      </c>
      <c r="H61" s="3">
        <v>63</v>
      </c>
      <c r="I61" s="3">
        <v>28</v>
      </c>
      <c r="J61" s="3">
        <v>22</v>
      </c>
      <c r="K61" s="3">
        <f t="shared" si="3"/>
        <v>52</v>
      </c>
      <c r="L61" s="1">
        <v>0</v>
      </c>
      <c r="M61" s="1">
        <v>0</v>
      </c>
      <c r="N61" s="1">
        <f t="shared" si="4"/>
        <v>0</v>
      </c>
    </row>
    <row r="62" spans="1:14" x14ac:dyDescent="0.25">
      <c r="A62" s="1" t="s">
        <v>131</v>
      </c>
      <c r="B62" s="1" t="s">
        <v>151</v>
      </c>
      <c r="C62" s="1" t="s">
        <v>138</v>
      </c>
      <c r="D62" s="1" t="s">
        <v>63</v>
      </c>
      <c r="E62" s="1">
        <v>1</v>
      </c>
      <c r="F62" s="1" t="str">
        <f t="shared" si="2"/>
        <v>gallo-DO-1</v>
      </c>
      <c r="G62" s="2">
        <v>44496</v>
      </c>
      <c r="H62" s="3">
        <v>72</v>
      </c>
      <c r="I62" s="3">
        <v>37</v>
      </c>
      <c r="J62" s="3">
        <v>24</v>
      </c>
      <c r="K62" s="3">
        <f t="shared" si="3"/>
        <v>85</v>
      </c>
      <c r="L62" s="1">
        <v>0</v>
      </c>
      <c r="M62" s="1">
        <v>0</v>
      </c>
      <c r="N62" s="1">
        <f t="shared" si="4"/>
        <v>0</v>
      </c>
    </row>
    <row r="63" spans="1:14" x14ac:dyDescent="0.25">
      <c r="A63" s="1" t="s">
        <v>132</v>
      </c>
      <c r="B63" s="1" t="s">
        <v>151</v>
      </c>
      <c r="C63" s="1" t="s">
        <v>138</v>
      </c>
      <c r="D63" s="1" t="s">
        <v>63</v>
      </c>
      <c r="E63" s="1">
        <v>1</v>
      </c>
      <c r="F63" s="1" t="str">
        <f t="shared" si="2"/>
        <v>gallo-DO-1</v>
      </c>
      <c r="G63" s="2">
        <v>44496</v>
      </c>
      <c r="H63" s="3">
        <v>58</v>
      </c>
      <c r="I63" s="3">
        <v>32</v>
      </c>
      <c r="J63" s="3">
        <v>19</v>
      </c>
      <c r="K63" s="3">
        <f t="shared" si="3"/>
        <v>47</v>
      </c>
      <c r="L63" s="1">
        <v>0</v>
      </c>
      <c r="M63" s="1">
        <v>0</v>
      </c>
      <c r="N63" s="1">
        <f t="shared" si="4"/>
        <v>0</v>
      </c>
    </row>
    <row r="64" spans="1:14" x14ac:dyDescent="0.25">
      <c r="A64" s="1" t="s">
        <v>133</v>
      </c>
      <c r="B64" s="1" t="s">
        <v>151</v>
      </c>
      <c r="C64" s="1" t="s">
        <v>138</v>
      </c>
      <c r="D64" s="1" t="s">
        <v>63</v>
      </c>
      <c r="E64" s="1">
        <v>1</v>
      </c>
      <c r="F64" s="1" t="str">
        <f t="shared" si="2"/>
        <v>gallo-DO-1</v>
      </c>
      <c r="G64" s="2">
        <v>44496</v>
      </c>
      <c r="H64" s="3">
        <v>65</v>
      </c>
      <c r="I64" s="3">
        <v>36</v>
      </c>
      <c r="J64" s="3">
        <v>24</v>
      </c>
      <c r="K64" s="3">
        <f t="shared" si="3"/>
        <v>75</v>
      </c>
      <c r="L64" s="1">
        <v>0</v>
      </c>
      <c r="M64" s="1">
        <v>0</v>
      </c>
      <c r="N64" s="1">
        <f t="shared" si="4"/>
        <v>0</v>
      </c>
    </row>
    <row r="65" spans="1:15" x14ac:dyDescent="0.25">
      <c r="A65" s="1" t="s">
        <v>134</v>
      </c>
      <c r="B65" s="1" t="s">
        <v>151</v>
      </c>
      <c r="C65" s="1" t="s">
        <v>138</v>
      </c>
      <c r="D65" s="1" t="s">
        <v>63</v>
      </c>
      <c r="E65" s="1">
        <v>1</v>
      </c>
      <c r="F65" s="1" t="str">
        <f t="shared" si="2"/>
        <v>gallo-DO-1</v>
      </c>
      <c r="G65" s="2">
        <v>44496</v>
      </c>
      <c r="H65" s="3">
        <v>46</v>
      </c>
      <c r="I65" s="3">
        <v>27</v>
      </c>
      <c r="J65" s="3">
        <v>16</v>
      </c>
      <c r="K65" s="3">
        <f t="shared" si="3"/>
        <v>26</v>
      </c>
      <c r="L65" s="1">
        <v>0</v>
      </c>
      <c r="M65" s="1">
        <v>0</v>
      </c>
      <c r="N65" s="1">
        <f t="shared" si="4"/>
        <v>0</v>
      </c>
    </row>
    <row r="66" spans="1:15" x14ac:dyDescent="0.25">
      <c r="A66" s="1" t="s">
        <v>135</v>
      </c>
      <c r="B66" s="1" t="s">
        <v>151</v>
      </c>
      <c r="C66" s="1" t="s">
        <v>138</v>
      </c>
      <c r="D66" s="1" t="s">
        <v>63</v>
      </c>
      <c r="E66" s="1">
        <v>1</v>
      </c>
      <c r="F66" s="1" t="str">
        <f t="shared" si="2"/>
        <v>gallo-DO-1</v>
      </c>
      <c r="G66" s="2">
        <v>44496</v>
      </c>
      <c r="H66" s="3">
        <v>57</v>
      </c>
      <c r="I66" s="3">
        <v>30</v>
      </c>
      <c r="J66" s="3">
        <v>18</v>
      </c>
      <c r="K66" s="3">
        <f t="shared" ref="K66:K97" si="5">ROUND((4/3)*(H66/10)*(I66/10)*(J66/10),0)</f>
        <v>41</v>
      </c>
      <c r="L66" s="1">
        <v>0</v>
      </c>
      <c r="M66" s="1">
        <v>0</v>
      </c>
      <c r="N66" s="1">
        <f t="shared" ref="N66:N97" si="6">IF(L66+M66=2,1,0)</f>
        <v>0</v>
      </c>
    </row>
    <row r="67" spans="1:15" x14ac:dyDescent="0.25">
      <c r="A67" s="1" t="s">
        <v>116</v>
      </c>
      <c r="B67" s="1" t="s">
        <v>152</v>
      </c>
      <c r="C67" s="1" t="s">
        <v>138</v>
      </c>
      <c r="D67" s="1" t="s">
        <v>63</v>
      </c>
      <c r="E67" s="1">
        <v>1</v>
      </c>
      <c r="F67" s="1" t="str">
        <f t="shared" ref="F67:F130" si="7">B67&amp;"-"&amp;D67&amp;"-"&amp;E67</f>
        <v>tross-DO-1</v>
      </c>
      <c r="G67" s="2">
        <v>44496</v>
      </c>
      <c r="H67" s="3">
        <v>58</v>
      </c>
      <c r="I67" s="3">
        <v>27</v>
      </c>
      <c r="J67" s="3">
        <v>18</v>
      </c>
      <c r="K67" s="3">
        <f t="shared" si="5"/>
        <v>38</v>
      </c>
      <c r="L67" s="1">
        <v>0</v>
      </c>
      <c r="M67" s="1">
        <v>0</v>
      </c>
      <c r="N67" s="1">
        <f t="shared" si="6"/>
        <v>0</v>
      </c>
    </row>
    <row r="68" spans="1:15" x14ac:dyDescent="0.25">
      <c r="A68" s="1" t="s">
        <v>117</v>
      </c>
      <c r="B68" s="1" t="s">
        <v>152</v>
      </c>
      <c r="C68" s="1" t="s">
        <v>138</v>
      </c>
      <c r="D68" s="1" t="s">
        <v>63</v>
      </c>
      <c r="E68" s="1">
        <v>1</v>
      </c>
      <c r="F68" s="1" t="str">
        <f t="shared" si="7"/>
        <v>tross-DO-1</v>
      </c>
      <c r="G68" s="2">
        <v>44496</v>
      </c>
      <c r="H68" s="3">
        <v>67</v>
      </c>
      <c r="I68" s="3">
        <v>28</v>
      </c>
      <c r="J68" s="3">
        <v>20</v>
      </c>
      <c r="K68" s="3">
        <f t="shared" si="5"/>
        <v>50</v>
      </c>
      <c r="L68" s="1">
        <v>0</v>
      </c>
      <c r="M68" s="1">
        <v>0</v>
      </c>
      <c r="N68" s="1">
        <f t="shared" si="6"/>
        <v>0</v>
      </c>
    </row>
    <row r="69" spans="1:15" x14ac:dyDescent="0.25">
      <c r="A69" s="1" t="s">
        <v>118</v>
      </c>
      <c r="B69" s="1" t="s">
        <v>152</v>
      </c>
      <c r="C69" s="1" t="s">
        <v>138</v>
      </c>
      <c r="D69" s="1" t="s">
        <v>63</v>
      </c>
      <c r="E69" s="1">
        <v>1</v>
      </c>
      <c r="F69" s="1" t="str">
        <f t="shared" si="7"/>
        <v>tross-DO-1</v>
      </c>
      <c r="G69" s="2">
        <v>44496</v>
      </c>
      <c r="H69" s="3">
        <v>61</v>
      </c>
      <c r="I69" s="3">
        <v>26</v>
      </c>
      <c r="J69" s="3">
        <v>20</v>
      </c>
      <c r="K69" s="3">
        <f t="shared" si="5"/>
        <v>42</v>
      </c>
      <c r="L69" s="1">
        <v>0</v>
      </c>
      <c r="M69" s="1">
        <v>0</v>
      </c>
      <c r="N69" s="1">
        <f t="shared" si="6"/>
        <v>0</v>
      </c>
    </row>
    <row r="70" spans="1:15" x14ac:dyDescent="0.25">
      <c r="A70" s="1" t="s">
        <v>119</v>
      </c>
      <c r="B70" s="1" t="s">
        <v>152</v>
      </c>
      <c r="C70" s="1" t="s">
        <v>138</v>
      </c>
      <c r="D70" s="1" t="s">
        <v>63</v>
      </c>
      <c r="E70" s="1">
        <v>1</v>
      </c>
      <c r="F70" s="1" t="str">
        <f t="shared" si="7"/>
        <v>tross-DO-1</v>
      </c>
      <c r="G70" s="2">
        <v>44496</v>
      </c>
      <c r="H70" s="3">
        <v>58</v>
      </c>
      <c r="I70" s="3">
        <v>25</v>
      </c>
      <c r="J70" s="3">
        <v>18</v>
      </c>
      <c r="K70" s="3">
        <f t="shared" si="5"/>
        <v>35</v>
      </c>
      <c r="L70" s="1">
        <v>0</v>
      </c>
      <c r="M70" s="1">
        <v>0</v>
      </c>
      <c r="N70" s="1">
        <f t="shared" si="6"/>
        <v>0</v>
      </c>
    </row>
    <row r="71" spans="1:15" x14ac:dyDescent="0.25">
      <c r="A71" s="1" t="s">
        <v>120</v>
      </c>
      <c r="B71" s="1" t="s">
        <v>152</v>
      </c>
      <c r="C71" s="1" t="s">
        <v>138</v>
      </c>
      <c r="D71" s="1" t="s">
        <v>63</v>
      </c>
      <c r="E71" s="1">
        <v>1</v>
      </c>
      <c r="F71" s="1" t="str">
        <f t="shared" si="7"/>
        <v>tross-DO-1</v>
      </c>
      <c r="G71" s="2">
        <v>44496</v>
      </c>
      <c r="H71" s="3">
        <v>64</v>
      </c>
      <c r="I71" s="3">
        <v>29</v>
      </c>
      <c r="J71" s="3">
        <v>21</v>
      </c>
      <c r="K71" s="3">
        <f t="shared" si="5"/>
        <v>52</v>
      </c>
      <c r="L71" s="1">
        <v>0</v>
      </c>
      <c r="M71" s="1">
        <v>0</v>
      </c>
      <c r="N71" s="1">
        <f t="shared" si="6"/>
        <v>0</v>
      </c>
    </row>
    <row r="72" spans="1:15" x14ac:dyDescent="0.25">
      <c r="A72" s="1" t="s">
        <v>94</v>
      </c>
      <c r="B72" s="1" t="s">
        <v>151</v>
      </c>
      <c r="C72" s="1" t="s">
        <v>139</v>
      </c>
      <c r="D72" s="1" t="s">
        <v>63</v>
      </c>
      <c r="E72" s="1">
        <v>3</v>
      </c>
      <c r="F72" s="1" t="str">
        <f t="shared" si="7"/>
        <v>gallo-DO-3</v>
      </c>
      <c r="G72" s="2">
        <v>44498</v>
      </c>
      <c r="H72" s="3">
        <v>58</v>
      </c>
      <c r="I72" s="3">
        <v>32</v>
      </c>
      <c r="J72" s="3">
        <v>20</v>
      </c>
      <c r="K72" s="3">
        <f t="shared" si="5"/>
        <v>49</v>
      </c>
      <c r="L72" s="1">
        <v>1</v>
      </c>
      <c r="M72" s="1">
        <v>0</v>
      </c>
      <c r="N72" s="1">
        <f t="shared" si="6"/>
        <v>0</v>
      </c>
      <c r="O72" s="1">
        <v>16</v>
      </c>
    </row>
    <row r="73" spans="1:15" x14ac:dyDescent="0.25">
      <c r="A73" s="1" t="s">
        <v>97</v>
      </c>
      <c r="B73" s="1" t="s">
        <v>151</v>
      </c>
      <c r="C73" s="1" t="s">
        <v>139</v>
      </c>
      <c r="D73" s="1" t="s">
        <v>63</v>
      </c>
      <c r="E73" s="1">
        <v>3</v>
      </c>
      <c r="F73" s="1" t="str">
        <f t="shared" si="7"/>
        <v>gallo-DO-3</v>
      </c>
      <c r="G73" s="2">
        <v>44498</v>
      </c>
      <c r="H73" s="3">
        <v>59</v>
      </c>
      <c r="I73" s="3">
        <v>32</v>
      </c>
      <c r="J73" s="3">
        <v>24</v>
      </c>
      <c r="K73" s="3">
        <f t="shared" si="5"/>
        <v>60</v>
      </c>
      <c r="L73" s="1">
        <v>1</v>
      </c>
      <c r="M73" s="1">
        <v>0</v>
      </c>
      <c r="N73" s="1">
        <f t="shared" si="6"/>
        <v>0</v>
      </c>
      <c r="O73" s="1">
        <v>14</v>
      </c>
    </row>
    <row r="74" spans="1:15" x14ac:dyDescent="0.25">
      <c r="A74" s="1" t="s">
        <v>98</v>
      </c>
      <c r="B74" s="1" t="s">
        <v>151</v>
      </c>
      <c r="C74" s="1" t="s">
        <v>139</v>
      </c>
      <c r="D74" s="1" t="s">
        <v>63</v>
      </c>
      <c r="E74" s="1">
        <v>3</v>
      </c>
      <c r="F74" s="1" t="str">
        <f t="shared" si="7"/>
        <v>gallo-DO-3</v>
      </c>
      <c r="G74" s="2">
        <v>44498</v>
      </c>
      <c r="H74" s="3">
        <v>67</v>
      </c>
      <c r="I74" s="3">
        <v>35</v>
      </c>
      <c r="J74" s="3">
        <v>25</v>
      </c>
      <c r="K74" s="3">
        <f t="shared" si="5"/>
        <v>78</v>
      </c>
      <c r="L74" s="1">
        <v>1</v>
      </c>
      <c r="M74" s="1">
        <v>0</v>
      </c>
      <c r="N74" s="1">
        <f t="shared" si="6"/>
        <v>0</v>
      </c>
      <c r="O74" s="1">
        <v>8</v>
      </c>
    </row>
    <row r="75" spans="1:15" x14ac:dyDescent="0.25">
      <c r="A75" s="1" t="s">
        <v>99</v>
      </c>
      <c r="B75" s="1" t="s">
        <v>151</v>
      </c>
      <c r="C75" s="1" t="s">
        <v>139</v>
      </c>
      <c r="D75" s="1" t="s">
        <v>63</v>
      </c>
      <c r="E75" s="1">
        <v>3</v>
      </c>
      <c r="F75" s="1" t="str">
        <f t="shared" si="7"/>
        <v>gallo-DO-3</v>
      </c>
      <c r="G75" s="2">
        <v>44498</v>
      </c>
      <c r="H75" s="3">
        <v>46</v>
      </c>
      <c r="I75" s="3">
        <v>26</v>
      </c>
      <c r="J75" s="3">
        <v>15</v>
      </c>
      <c r="K75" s="3">
        <f t="shared" si="5"/>
        <v>24</v>
      </c>
      <c r="L75" s="1">
        <v>1</v>
      </c>
      <c r="M75" s="1">
        <v>0</v>
      </c>
      <c r="N75" s="1">
        <f t="shared" si="6"/>
        <v>0</v>
      </c>
      <c r="O75" s="1">
        <v>5</v>
      </c>
    </row>
    <row r="76" spans="1:15" x14ac:dyDescent="0.25">
      <c r="A76" s="1" t="s">
        <v>100</v>
      </c>
      <c r="B76" s="1" t="s">
        <v>151</v>
      </c>
      <c r="C76" s="1" t="s">
        <v>139</v>
      </c>
      <c r="D76" s="1" t="s">
        <v>63</v>
      </c>
      <c r="E76" s="1">
        <v>3</v>
      </c>
      <c r="F76" s="1" t="str">
        <f t="shared" si="7"/>
        <v>gallo-DO-3</v>
      </c>
      <c r="G76" s="2">
        <v>44498</v>
      </c>
      <c r="H76" s="3">
        <v>55</v>
      </c>
      <c r="I76" s="3">
        <v>32</v>
      </c>
      <c r="J76" s="3">
        <v>20</v>
      </c>
      <c r="K76" s="3">
        <f t="shared" si="5"/>
        <v>47</v>
      </c>
      <c r="L76" s="1">
        <v>1</v>
      </c>
      <c r="M76" s="1">
        <v>0</v>
      </c>
      <c r="N76" s="1">
        <f t="shared" si="6"/>
        <v>0</v>
      </c>
      <c r="O76" s="1">
        <v>6</v>
      </c>
    </row>
    <row r="77" spans="1:15" x14ac:dyDescent="0.25">
      <c r="A77" s="1" t="s">
        <v>191</v>
      </c>
      <c r="B77" s="1" t="s">
        <v>151</v>
      </c>
      <c r="C77" s="1" t="s">
        <v>138</v>
      </c>
      <c r="D77" s="1" t="s">
        <v>63</v>
      </c>
      <c r="E77" s="1">
        <v>3</v>
      </c>
      <c r="F77" s="1" t="str">
        <f t="shared" si="7"/>
        <v>gallo-DO-3</v>
      </c>
      <c r="G77" s="2">
        <v>44498</v>
      </c>
      <c r="H77" s="3">
        <v>61</v>
      </c>
      <c r="I77" s="1">
        <v>31</v>
      </c>
      <c r="J77" s="1">
        <v>22</v>
      </c>
      <c r="K77" s="3">
        <f t="shared" si="5"/>
        <v>55</v>
      </c>
      <c r="L77" s="1">
        <v>0</v>
      </c>
      <c r="M77" s="1">
        <v>0</v>
      </c>
      <c r="N77" s="1">
        <f t="shared" si="6"/>
        <v>0</v>
      </c>
    </row>
    <row r="78" spans="1:15" x14ac:dyDescent="0.25">
      <c r="A78" s="1" t="s">
        <v>192</v>
      </c>
      <c r="B78" s="1" t="s">
        <v>151</v>
      </c>
      <c r="C78" s="1" t="s">
        <v>138</v>
      </c>
      <c r="D78" s="1" t="s">
        <v>63</v>
      </c>
      <c r="E78" s="1">
        <v>3</v>
      </c>
      <c r="F78" s="1" t="str">
        <f t="shared" si="7"/>
        <v>gallo-DO-3</v>
      </c>
      <c r="G78" s="2">
        <v>44498</v>
      </c>
      <c r="H78" s="3">
        <v>68</v>
      </c>
      <c r="I78" s="1">
        <v>35</v>
      </c>
      <c r="J78" s="1">
        <v>26</v>
      </c>
      <c r="K78" s="3">
        <f t="shared" si="5"/>
        <v>83</v>
      </c>
      <c r="L78" s="1">
        <v>0</v>
      </c>
      <c r="M78" s="1">
        <v>0</v>
      </c>
      <c r="N78" s="1">
        <f t="shared" si="6"/>
        <v>0</v>
      </c>
    </row>
    <row r="79" spans="1:15" x14ac:dyDescent="0.25">
      <c r="A79" s="1" t="s">
        <v>193</v>
      </c>
      <c r="B79" s="1" t="s">
        <v>151</v>
      </c>
      <c r="C79" s="1" t="s">
        <v>138</v>
      </c>
      <c r="D79" s="1" t="s">
        <v>63</v>
      </c>
      <c r="E79" s="1">
        <v>3</v>
      </c>
      <c r="F79" s="1" t="str">
        <f t="shared" si="7"/>
        <v>gallo-DO-3</v>
      </c>
      <c r="G79" s="2">
        <v>44498</v>
      </c>
      <c r="H79" s="3">
        <v>61</v>
      </c>
      <c r="I79" s="1">
        <v>35</v>
      </c>
      <c r="J79" s="1">
        <v>20</v>
      </c>
      <c r="K79" s="3">
        <f t="shared" si="5"/>
        <v>57</v>
      </c>
      <c r="L79" s="1">
        <v>0</v>
      </c>
      <c r="M79" s="1">
        <v>0</v>
      </c>
      <c r="N79" s="1">
        <f t="shared" si="6"/>
        <v>0</v>
      </c>
    </row>
    <row r="80" spans="1:15" x14ac:dyDescent="0.25">
      <c r="A80" s="1" t="s">
        <v>194</v>
      </c>
      <c r="B80" s="1" t="s">
        <v>151</v>
      </c>
      <c r="C80" s="1" t="s">
        <v>138</v>
      </c>
      <c r="D80" s="1" t="s">
        <v>63</v>
      </c>
      <c r="E80" s="1">
        <v>3</v>
      </c>
      <c r="F80" s="1" t="str">
        <f t="shared" si="7"/>
        <v>gallo-DO-3</v>
      </c>
      <c r="G80" s="2">
        <v>44498</v>
      </c>
      <c r="H80" s="3">
        <v>63</v>
      </c>
      <c r="I80" s="1">
        <v>34</v>
      </c>
      <c r="J80" s="1">
        <v>21</v>
      </c>
      <c r="K80" s="3">
        <f t="shared" si="5"/>
        <v>60</v>
      </c>
      <c r="L80" s="1">
        <v>0</v>
      </c>
      <c r="M80" s="1">
        <v>0</v>
      </c>
      <c r="N80" s="1">
        <f t="shared" si="6"/>
        <v>0</v>
      </c>
    </row>
    <row r="81" spans="1:16" x14ac:dyDescent="0.25">
      <c r="A81" s="1" t="s">
        <v>195</v>
      </c>
      <c r="B81" s="1" t="s">
        <v>151</v>
      </c>
      <c r="C81" s="1" t="s">
        <v>138</v>
      </c>
      <c r="D81" s="1" t="s">
        <v>63</v>
      </c>
      <c r="E81" s="1">
        <v>3</v>
      </c>
      <c r="F81" s="1" t="str">
        <f t="shared" si="7"/>
        <v>gallo-DO-3</v>
      </c>
      <c r="G81" s="2">
        <v>44498</v>
      </c>
      <c r="H81" s="3">
        <v>61</v>
      </c>
      <c r="I81" s="1">
        <v>34</v>
      </c>
      <c r="J81" s="1">
        <v>23</v>
      </c>
      <c r="K81" s="3">
        <f t="shared" si="5"/>
        <v>64</v>
      </c>
      <c r="L81" s="1">
        <v>0</v>
      </c>
      <c r="M81" s="1">
        <v>0</v>
      </c>
      <c r="N81" s="1">
        <f t="shared" si="6"/>
        <v>0</v>
      </c>
    </row>
    <row r="82" spans="1:16" x14ac:dyDescent="0.25">
      <c r="A82" s="1" t="s">
        <v>182</v>
      </c>
      <c r="B82" s="1" t="s">
        <v>152</v>
      </c>
      <c r="C82" s="1" t="s">
        <v>138</v>
      </c>
      <c r="D82" s="1" t="s">
        <v>63</v>
      </c>
      <c r="E82" s="1">
        <v>3</v>
      </c>
      <c r="F82" s="1" t="str">
        <f t="shared" si="7"/>
        <v>tross-DO-3</v>
      </c>
      <c r="G82" s="2">
        <v>44498</v>
      </c>
      <c r="H82" s="3">
        <v>59</v>
      </c>
      <c r="I82" s="3">
        <v>26</v>
      </c>
      <c r="J82" s="3">
        <v>18</v>
      </c>
      <c r="K82" s="3">
        <f t="shared" si="5"/>
        <v>37</v>
      </c>
      <c r="L82" s="1">
        <v>0</v>
      </c>
      <c r="M82" s="1">
        <v>0</v>
      </c>
      <c r="N82" s="1">
        <f t="shared" si="6"/>
        <v>0</v>
      </c>
    </row>
    <row r="83" spans="1:16" x14ac:dyDescent="0.25">
      <c r="A83" s="1" t="s">
        <v>183</v>
      </c>
      <c r="B83" s="1" t="s">
        <v>152</v>
      </c>
      <c r="C83" s="1" t="s">
        <v>138</v>
      </c>
      <c r="D83" s="1" t="s">
        <v>63</v>
      </c>
      <c r="E83" s="1">
        <v>3</v>
      </c>
      <c r="F83" s="1" t="str">
        <f t="shared" si="7"/>
        <v>tross-DO-3</v>
      </c>
      <c r="G83" s="2">
        <v>44498</v>
      </c>
      <c r="H83" s="3">
        <v>62</v>
      </c>
      <c r="I83" s="3">
        <v>28</v>
      </c>
      <c r="J83" s="3">
        <v>20</v>
      </c>
      <c r="K83" s="3">
        <f t="shared" si="5"/>
        <v>46</v>
      </c>
      <c r="L83" s="1">
        <v>0</v>
      </c>
      <c r="M83" s="1">
        <v>0</v>
      </c>
      <c r="N83" s="1">
        <f t="shared" si="6"/>
        <v>0</v>
      </c>
    </row>
    <row r="84" spans="1:16" x14ac:dyDescent="0.25">
      <c r="A84" s="1" t="s">
        <v>184</v>
      </c>
      <c r="B84" s="1" t="s">
        <v>152</v>
      </c>
      <c r="C84" s="1" t="s">
        <v>138</v>
      </c>
      <c r="D84" s="1" t="s">
        <v>63</v>
      </c>
      <c r="E84" s="1">
        <v>3</v>
      </c>
      <c r="F84" s="1" t="str">
        <f t="shared" si="7"/>
        <v>tross-DO-3</v>
      </c>
      <c r="G84" s="2">
        <v>44498</v>
      </c>
      <c r="H84" s="3">
        <v>57</v>
      </c>
      <c r="I84" s="3">
        <v>25</v>
      </c>
      <c r="J84" s="3">
        <v>16</v>
      </c>
      <c r="K84" s="3">
        <f t="shared" si="5"/>
        <v>30</v>
      </c>
      <c r="L84" s="1">
        <v>0</v>
      </c>
      <c r="M84" s="1">
        <v>0</v>
      </c>
      <c r="N84" s="1">
        <f t="shared" si="6"/>
        <v>0</v>
      </c>
    </row>
    <row r="85" spans="1:16" x14ac:dyDescent="0.25">
      <c r="A85" s="1" t="s">
        <v>185</v>
      </c>
      <c r="B85" s="1" t="s">
        <v>152</v>
      </c>
      <c r="C85" s="1" t="s">
        <v>138</v>
      </c>
      <c r="D85" s="1" t="s">
        <v>63</v>
      </c>
      <c r="E85" s="1">
        <v>3</v>
      </c>
      <c r="F85" s="1" t="str">
        <f t="shared" si="7"/>
        <v>tross-DO-3</v>
      </c>
      <c r="G85" s="2">
        <v>44498</v>
      </c>
      <c r="H85" s="3">
        <v>62</v>
      </c>
      <c r="I85" s="3">
        <v>28</v>
      </c>
      <c r="J85" s="3">
        <v>22</v>
      </c>
      <c r="K85" s="3">
        <f t="shared" si="5"/>
        <v>51</v>
      </c>
      <c r="L85" s="1">
        <v>0</v>
      </c>
      <c r="M85" s="1">
        <v>0</v>
      </c>
      <c r="N85" s="1">
        <f t="shared" si="6"/>
        <v>0</v>
      </c>
    </row>
    <row r="86" spans="1:16" x14ac:dyDescent="0.25">
      <c r="A86" s="1" t="s">
        <v>186</v>
      </c>
      <c r="B86" s="1" t="s">
        <v>152</v>
      </c>
      <c r="C86" s="1" t="s">
        <v>138</v>
      </c>
      <c r="D86" s="1" t="s">
        <v>63</v>
      </c>
      <c r="E86" s="1">
        <v>3</v>
      </c>
      <c r="F86" s="1" t="str">
        <f t="shared" si="7"/>
        <v>tross-DO-3</v>
      </c>
      <c r="G86" s="2">
        <v>44498</v>
      </c>
      <c r="H86" s="3">
        <v>49</v>
      </c>
      <c r="I86" s="3">
        <v>22</v>
      </c>
      <c r="J86" s="3">
        <v>16</v>
      </c>
      <c r="K86" s="3">
        <f t="shared" si="5"/>
        <v>23</v>
      </c>
      <c r="L86" s="1">
        <v>0</v>
      </c>
      <c r="M86" s="1">
        <v>0</v>
      </c>
      <c r="N86" s="1">
        <f t="shared" si="6"/>
        <v>0</v>
      </c>
    </row>
    <row r="87" spans="1:16" x14ac:dyDescent="0.25">
      <c r="A87" s="1" t="s">
        <v>187</v>
      </c>
      <c r="B87" s="1" t="s">
        <v>152</v>
      </c>
      <c r="C87" s="1" t="s">
        <v>138</v>
      </c>
      <c r="D87" s="1" t="s">
        <v>63</v>
      </c>
      <c r="E87" s="1">
        <v>3</v>
      </c>
      <c r="F87" s="1" t="str">
        <f t="shared" si="7"/>
        <v>tross-DO-3</v>
      </c>
      <c r="G87" s="2">
        <v>44498</v>
      </c>
      <c r="H87" s="3">
        <v>64</v>
      </c>
      <c r="I87" s="3">
        <v>27</v>
      </c>
      <c r="J87" s="3">
        <v>19</v>
      </c>
      <c r="K87" s="3">
        <f t="shared" si="5"/>
        <v>44</v>
      </c>
      <c r="L87" s="1">
        <v>0</v>
      </c>
      <c r="M87" s="1">
        <v>0</v>
      </c>
      <c r="N87" s="1">
        <f t="shared" si="6"/>
        <v>0</v>
      </c>
    </row>
    <row r="88" spans="1:16" x14ac:dyDescent="0.25">
      <c r="A88" s="1" t="s">
        <v>188</v>
      </c>
      <c r="B88" s="1" t="s">
        <v>152</v>
      </c>
      <c r="C88" s="1" t="s">
        <v>138</v>
      </c>
      <c r="D88" s="1" t="s">
        <v>63</v>
      </c>
      <c r="E88" s="1">
        <v>3</v>
      </c>
      <c r="F88" s="1" t="str">
        <f t="shared" si="7"/>
        <v>tross-DO-3</v>
      </c>
      <c r="G88" s="2">
        <v>44498</v>
      </c>
      <c r="H88" s="3">
        <v>58</v>
      </c>
      <c r="I88" s="3">
        <v>27</v>
      </c>
      <c r="J88" s="3">
        <v>17</v>
      </c>
      <c r="K88" s="3">
        <f t="shared" si="5"/>
        <v>35</v>
      </c>
      <c r="L88" s="1">
        <v>0</v>
      </c>
      <c r="M88" s="1">
        <v>0</v>
      </c>
      <c r="N88" s="1">
        <f t="shared" si="6"/>
        <v>0</v>
      </c>
    </row>
    <row r="89" spans="1:16" x14ac:dyDescent="0.25">
      <c r="A89" s="1" t="s">
        <v>189</v>
      </c>
      <c r="B89" s="1" t="s">
        <v>152</v>
      </c>
      <c r="C89" s="1" t="s">
        <v>138</v>
      </c>
      <c r="D89" s="1" t="s">
        <v>63</v>
      </c>
      <c r="E89" s="1">
        <v>3</v>
      </c>
      <c r="F89" s="1" t="str">
        <f t="shared" si="7"/>
        <v>tross-DO-3</v>
      </c>
      <c r="G89" s="2">
        <v>44498</v>
      </c>
      <c r="H89" s="3">
        <v>60</v>
      </c>
      <c r="I89" s="3">
        <v>25</v>
      </c>
      <c r="J89" s="3">
        <v>19</v>
      </c>
      <c r="K89" s="3">
        <f t="shared" si="5"/>
        <v>38</v>
      </c>
      <c r="L89" s="1">
        <v>0</v>
      </c>
      <c r="M89" s="1">
        <v>0</v>
      </c>
      <c r="N89" s="1">
        <f t="shared" si="6"/>
        <v>0</v>
      </c>
    </row>
    <row r="90" spans="1:16" x14ac:dyDescent="0.25">
      <c r="A90" s="1" t="s">
        <v>181</v>
      </c>
      <c r="B90" s="1" t="s">
        <v>152</v>
      </c>
      <c r="C90" s="1" t="s">
        <v>138</v>
      </c>
      <c r="D90" s="1" t="s">
        <v>63</v>
      </c>
      <c r="E90" s="1">
        <v>3</v>
      </c>
      <c r="F90" s="1" t="str">
        <f t="shared" si="7"/>
        <v>tross-DO-3</v>
      </c>
      <c r="G90" s="2">
        <v>44498</v>
      </c>
      <c r="H90" s="3">
        <v>52</v>
      </c>
      <c r="I90" s="3">
        <v>24</v>
      </c>
      <c r="J90" s="3">
        <v>17</v>
      </c>
      <c r="K90" s="3">
        <f t="shared" si="5"/>
        <v>28</v>
      </c>
      <c r="L90" s="1">
        <v>0</v>
      </c>
      <c r="M90" s="1">
        <v>1</v>
      </c>
      <c r="N90" s="1">
        <f t="shared" si="6"/>
        <v>0</v>
      </c>
      <c r="P90" s="1">
        <v>2</v>
      </c>
    </row>
    <row r="91" spans="1:16" x14ac:dyDescent="0.25">
      <c r="A91" s="1" t="s">
        <v>121</v>
      </c>
      <c r="B91" s="1" t="s">
        <v>151</v>
      </c>
      <c r="C91" s="1" t="s">
        <v>138</v>
      </c>
      <c r="D91" s="1" t="s">
        <v>31</v>
      </c>
      <c r="E91" s="1">
        <v>1</v>
      </c>
      <c r="F91" s="1" t="str">
        <f t="shared" si="7"/>
        <v>gallo-OA-1</v>
      </c>
      <c r="G91" s="2">
        <v>44496</v>
      </c>
      <c r="H91" s="3">
        <v>72</v>
      </c>
      <c r="I91" s="3">
        <v>42</v>
      </c>
      <c r="J91" s="3">
        <v>25</v>
      </c>
      <c r="K91" s="3">
        <f t="shared" si="5"/>
        <v>101</v>
      </c>
      <c r="L91" s="1">
        <v>0</v>
      </c>
      <c r="M91" s="1">
        <v>0</v>
      </c>
      <c r="N91" s="1">
        <f t="shared" si="6"/>
        <v>0</v>
      </c>
    </row>
    <row r="92" spans="1:16" x14ac:dyDescent="0.25">
      <c r="A92" s="1" t="s">
        <v>122</v>
      </c>
      <c r="B92" s="1" t="s">
        <v>151</v>
      </c>
      <c r="C92" s="1" t="s">
        <v>138</v>
      </c>
      <c r="D92" s="1" t="s">
        <v>31</v>
      </c>
      <c r="E92" s="1">
        <v>1</v>
      </c>
      <c r="F92" s="1" t="str">
        <f t="shared" si="7"/>
        <v>gallo-OA-1</v>
      </c>
      <c r="G92" s="2">
        <v>44496</v>
      </c>
      <c r="H92" s="3">
        <v>64</v>
      </c>
      <c r="I92" s="3">
        <v>30</v>
      </c>
      <c r="J92" s="3">
        <v>22</v>
      </c>
      <c r="K92" s="3">
        <f t="shared" si="5"/>
        <v>56</v>
      </c>
      <c r="L92" s="1">
        <v>0</v>
      </c>
      <c r="M92" s="1">
        <v>0</v>
      </c>
      <c r="N92" s="1">
        <f t="shared" si="6"/>
        <v>0</v>
      </c>
    </row>
    <row r="93" spans="1:16" x14ac:dyDescent="0.25">
      <c r="A93" s="1" t="s">
        <v>123</v>
      </c>
      <c r="B93" s="1" t="s">
        <v>151</v>
      </c>
      <c r="C93" s="1" t="s">
        <v>138</v>
      </c>
      <c r="D93" s="1" t="s">
        <v>31</v>
      </c>
      <c r="E93" s="1">
        <v>1</v>
      </c>
      <c r="F93" s="1" t="str">
        <f t="shared" si="7"/>
        <v>gallo-OA-1</v>
      </c>
      <c r="G93" s="2">
        <v>44496</v>
      </c>
      <c r="H93" s="3">
        <v>57</v>
      </c>
      <c r="I93" s="3">
        <v>31</v>
      </c>
      <c r="J93" s="3">
        <v>20</v>
      </c>
      <c r="K93" s="3">
        <f t="shared" si="5"/>
        <v>47</v>
      </c>
      <c r="L93" s="1">
        <v>0</v>
      </c>
      <c r="M93" s="1">
        <v>0</v>
      </c>
      <c r="N93" s="1">
        <f t="shared" si="6"/>
        <v>0</v>
      </c>
    </row>
    <row r="94" spans="1:16" x14ac:dyDescent="0.25">
      <c r="A94" s="1" t="s">
        <v>124</v>
      </c>
      <c r="B94" s="1" t="s">
        <v>151</v>
      </c>
      <c r="C94" s="1" t="s">
        <v>138</v>
      </c>
      <c r="D94" s="1" t="s">
        <v>31</v>
      </c>
      <c r="E94" s="1">
        <v>1</v>
      </c>
      <c r="F94" s="1" t="str">
        <f t="shared" si="7"/>
        <v>gallo-OA-1</v>
      </c>
      <c r="G94" s="2">
        <v>44496</v>
      </c>
      <c r="H94" s="3">
        <v>61</v>
      </c>
      <c r="I94" s="3">
        <v>39</v>
      </c>
      <c r="J94" s="3">
        <v>22</v>
      </c>
      <c r="K94" s="3">
        <f t="shared" si="5"/>
        <v>70</v>
      </c>
      <c r="L94" s="1">
        <v>0</v>
      </c>
      <c r="M94" s="1">
        <v>0</v>
      </c>
      <c r="N94" s="1">
        <f t="shared" si="6"/>
        <v>0</v>
      </c>
    </row>
    <row r="95" spans="1:16" x14ac:dyDescent="0.25">
      <c r="A95" s="1" t="s">
        <v>125</v>
      </c>
      <c r="B95" s="1" t="s">
        <v>151</v>
      </c>
      <c r="C95" s="1" t="s">
        <v>138</v>
      </c>
      <c r="D95" s="1" t="s">
        <v>31</v>
      </c>
      <c r="E95" s="1">
        <v>1</v>
      </c>
      <c r="F95" s="1" t="str">
        <f t="shared" si="7"/>
        <v>gallo-OA-1</v>
      </c>
      <c r="G95" s="2">
        <v>44496</v>
      </c>
      <c r="H95" s="3">
        <v>59</v>
      </c>
      <c r="I95" s="3">
        <v>30</v>
      </c>
      <c r="J95" s="3">
        <v>21</v>
      </c>
      <c r="K95" s="3">
        <f t="shared" si="5"/>
        <v>50</v>
      </c>
      <c r="L95" s="1">
        <v>0</v>
      </c>
      <c r="M95" s="1">
        <v>0</v>
      </c>
      <c r="N95" s="1">
        <f t="shared" si="6"/>
        <v>0</v>
      </c>
    </row>
    <row r="96" spans="1:16" x14ac:dyDescent="0.25">
      <c r="A96" s="1" t="s">
        <v>106</v>
      </c>
      <c r="B96" s="1" t="s">
        <v>152</v>
      </c>
      <c r="C96" s="1" t="s">
        <v>138</v>
      </c>
      <c r="D96" s="1" t="s">
        <v>31</v>
      </c>
      <c r="E96" s="1">
        <v>1</v>
      </c>
      <c r="F96" s="1" t="str">
        <f t="shared" si="7"/>
        <v>tross-OA-1</v>
      </c>
      <c r="G96" s="2">
        <v>44496</v>
      </c>
      <c r="H96" s="3">
        <v>52</v>
      </c>
      <c r="I96" s="3">
        <v>24</v>
      </c>
      <c r="J96" s="3">
        <v>19</v>
      </c>
      <c r="K96" s="3">
        <f t="shared" si="5"/>
        <v>32</v>
      </c>
      <c r="L96" s="1">
        <v>0</v>
      </c>
      <c r="M96" s="1">
        <v>0</v>
      </c>
      <c r="N96" s="1">
        <f t="shared" si="6"/>
        <v>0</v>
      </c>
    </row>
    <row r="97" spans="1:16" x14ac:dyDescent="0.25">
      <c r="A97" s="1" t="s">
        <v>107</v>
      </c>
      <c r="B97" s="1" t="s">
        <v>152</v>
      </c>
      <c r="C97" s="1" t="s">
        <v>138</v>
      </c>
      <c r="D97" s="1" t="s">
        <v>31</v>
      </c>
      <c r="E97" s="1">
        <v>1</v>
      </c>
      <c r="F97" s="1" t="str">
        <f t="shared" si="7"/>
        <v>tross-OA-1</v>
      </c>
      <c r="G97" s="2">
        <v>44496</v>
      </c>
      <c r="H97" s="3">
        <v>51</v>
      </c>
      <c r="I97" s="3">
        <v>24</v>
      </c>
      <c r="J97" s="3">
        <v>18</v>
      </c>
      <c r="K97" s="3">
        <f t="shared" si="5"/>
        <v>29</v>
      </c>
      <c r="L97" s="1">
        <v>0</v>
      </c>
      <c r="M97" s="1">
        <v>0</v>
      </c>
      <c r="N97" s="1">
        <f t="shared" si="6"/>
        <v>0</v>
      </c>
    </row>
    <row r="98" spans="1:16" x14ac:dyDescent="0.25">
      <c r="A98" s="1" t="s">
        <v>108</v>
      </c>
      <c r="B98" s="1" t="s">
        <v>152</v>
      </c>
      <c r="C98" s="1" t="s">
        <v>138</v>
      </c>
      <c r="D98" s="1" t="s">
        <v>31</v>
      </c>
      <c r="E98" s="1">
        <v>1</v>
      </c>
      <c r="F98" s="1" t="str">
        <f t="shared" si="7"/>
        <v>tross-OA-1</v>
      </c>
      <c r="G98" s="2">
        <v>44496</v>
      </c>
      <c r="H98" s="3">
        <v>58</v>
      </c>
      <c r="I98" s="3">
        <v>27</v>
      </c>
      <c r="J98" s="3">
        <v>19</v>
      </c>
      <c r="K98" s="3">
        <f t="shared" ref="K98:K129" si="8">ROUND((4/3)*(H98/10)*(I98/10)*(J98/10),0)</f>
        <v>40</v>
      </c>
      <c r="L98" s="1">
        <v>0</v>
      </c>
      <c r="M98" s="1">
        <v>0</v>
      </c>
      <c r="N98" s="1">
        <f t="shared" ref="N98:N129" si="9">IF(L98+M98=2,1,0)</f>
        <v>0</v>
      </c>
    </row>
    <row r="99" spans="1:16" x14ac:dyDescent="0.25">
      <c r="A99" s="1" t="s">
        <v>109</v>
      </c>
      <c r="B99" s="1" t="s">
        <v>152</v>
      </c>
      <c r="C99" s="1" t="s">
        <v>138</v>
      </c>
      <c r="D99" s="1" t="s">
        <v>31</v>
      </c>
      <c r="E99" s="1">
        <v>1</v>
      </c>
      <c r="F99" s="1" t="str">
        <f t="shared" si="7"/>
        <v>tross-OA-1</v>
      </c>
      <c r="G99" s="2">
        <v>44496</v>
      </c>
      <c r="H99" s="3">
        <v>56</v>
      </c>
      <c r="I99" s="3">
        <v>26</v>
      </c>
      <c r="J99" s="3">
        <v>19</v>
      </c>
      <c r="K99" s="3">
        <f t="shared" si="8"/>
        <v>37</v>
      </c>
      <c r="L99" s="1">
        <v>0</v>
      </c>
      <c r="M99" s="1">
        <v>0</v>
      </c>
      <c r="N99" s="1">
        <f t="shared" si="9"/>
        <v>0</v>
      </c>
    </row>
    <row r="100" spans="1:16" x14ac:dyDescent="0.25">
      <c r="A100" s="1" t="s">
        <v>110</v>
      </c>
      <c r="B100" s="1" t="s">
        <v>152</v>
      </c>
      <c r="C100" s="1" t="s">
        <v>138</v>
      </c>
      <c r="D100" s="1" t="s">
        <v>31</v>
      </c>
      <c r="E100" s="1">
        <v>1</v>
      </c>
      <c r="F100" s="1" t="str">
        <f t="shared" si="7"/>
        <v>tross-OA-1</v>
      </c>
      <c r="G100" s="2">
        <v>44496</v>
      </c>
      <c r="H100" s="3">
        <v>56</v>
      </c>
      <c r="I100" s="3">
        <v>26</v>
      </c>
      <c r="J100" s="3">
        <v>18</v>
      </c>
      <c r="K100" s="3">
        <f t="shared" si="8"/>
        <v>35</v>
      </c>
      <c r="L100" s="1">
        <v>0</v>
      </c>
      <c r="M100" s="1">
        <v>0</v>
      </c>
      <c r="N100" s="1">
        <f t="shared" si="9"/>
        <v>0</v>
      </c>
    </row>
    <row r="101" spans="1:16" x14ac:dyDescent="0.25">
      <c r="A101" s="1" t="s">
        <v>201</v>
      </c>
      <c r="B101" s="1" t="s">
        <v>151</v>
      </c>
      <c r="C101" s="1" t="s">
        <v>138</v>
      </c>
      <c r="D101" s="1" t="s">
        <v>31</v>
      </c>
      <c r="E101" s="1">
        <v>3</v>
      </c>
      <c r="F101" s="1" t="str">
        <f t="shared" si="7"/>
        <v>gallo-OA-3</v>
      </c>
      <c r="G101" s="2">
        <v>44498</v>
      </c>
      <c r="H101" s="3">
        <v>58</v>
      </c>
      <c r="I101" s="1">
        <v>31</v>
      </c>
      <c r="J101" s="1">
        <v>22</v>
      </c>
      <c r="K101" s="3">
        <f t="shared" si="8"/>
        <v>53</v>
      </c>
      <c r="L101" s="1">
        <v>0</v>
      </c>
      <c r="M101" s="1">
        <v>1</v>
      </c>
      <c r="N101" s="1">
        <f t="shared" si="9"/>
        <v>0</v>
      </c>
      <c r="P101" s="1">
        <v>16</v>
      </c>
    </row>
    <row r="102" spans="1:16" x14ac:dyDescent="0.25">
      <c r="A102" s="1" t="s">
        <v>202</v>
      </c>
      <c r="B102" s="1" t="s">
        <v>151</v>
      </c>
      <c r="C102" s="1" t="s">
        <v>138</v>
      </c>
      <c r="D102" s="1" t="s">
        <v>31</v>
      </c>
      <c r="E102" s="1">
        <v>3</v>
      </c>
      <c r="F102" s="1" t="str">
        <f t="shared" si="7"/>
        <v>gallo-OA-3</v>
      </c>
      <c r="G102" s="2">
        <v>44498</v>
      </c>
      <c r="H102" s="3">
        <v>58</v>
      </c>
      <c r="I102" s="1">
        <v>31</v>
      </c>
      <c r="J102" s="1">
        <v>25</v>
      </c>
      <c r="K102" s="3">
        <f t="shared" si="8"/>
        <v>60</v>
      </c>
      <c r="L102" s="1">
        <v>0</v>
      </c>
      <c r="M102" s="1">
        <v>1</v>
      </c>
      <c r="N102" s="1">
        <f t="shared" si="9"/>
        <v>0</v>
      </c>
      <c r="P102" s="1">
        <v>12</v>
      </c>
    </row>
    <row r="103" spans="1:16" x14ac:dyDescent="0.25">
      <c r="A103" s="1" t="s">
        <v>203</v>
      </c>
      <c r="B103" s="1" t="s">
        <v>151</v>
      </c>
      <c r="C103" s="1" t="s">
        <v>138</v>
      </c>
      <c r="D103" s="1" t="s">
        <v>31</v>
      </c>
      <c r="E103" s="1">
        <v>3</v>
      </c>
      <c r="F103" s="1" t="str">
        <f t="shared" si="7"/>
        <v>gallo-OA-3</v>
      </c>
      <c r="G103" s="2">
        <v>44498</v>
      </c>
      <c r="H103" s="3">
        <v>64</v>
      </c>
      <c r="I103" s="1">
        <v>33</v>
      </c>
      <c r="J103" s="1">
        <v>22</v>
      </c>
      <c r="K103" s="3">
        <f t="shared" si="8"/>
        <v>62</v>
      </c>
      <c r="L103" s="1">
        <v>0</v>
      </c>
      <c r="M103" s="1">
        <v>1</v>
      </c>
      <c r="N103" s="1">
        <f t="shared" si="9"/>
        <v>0</v>
      </c>
      <c r="P103" s="1">
        <v>17</v>
      </c>
    </row>
    <row r="104" spans="1:16" x14ac:dyDescent="0.25">
      <c r="A104" s="1" t="s">
        <v>190</v>
      </c>
      <c r="B104" s="1" t="s">
        <v>152</v>
      </c>
      <c r="C104" s="1" t="s">
        <v>138</v>
      </c>
      <c r="D104" s="1" t="s">
        <v>31</v>
      </c>
      <c r="E104" s="1">
        <v>3</v>
      </c>
      <c r="F104" s="1" t="str">
        <f t="shared" si="7"/>
        <v>tross-OA-3</v>
      </c>
      <c r="G104" s="2">
        <v>44498</v>
      </c>
      <c r="H104" s="3">
        <v>56</v>
      </c>
      <c r="I104" s="3">
        <v>24</v>
      </c>
      <c r="J104" s="3">
        <v>18</v>
      </c>
      <c r="K104" s="3">
        <f t="shared" si="8"/>
        <v>32</v>
      </c>
      <c r="L104" s="1">
        <v>0</v>
      </c>
      <c r="M104" s="1">
        <v>1</v>
      </c>
      <c r="N104" s="1">
        <f t="shared" si="9"/>
        <v>0</v>
      </c>
      <c r="P104" s="1">
        <v>9</v>
      </c>
    </row>
    <row r="105" spans="1:16" x14ac:dyDescent="0.25">
      <c r="A105" s="1" t="s">
        <v>196</v>
      </c>
      <c r="B105" s="1" t="s">
        <v>152</v>
      </c>
      <c r="C105" s="1" t="s">
        <v>138</v>
      </c>
      <c r="D105" s="1" t="s">
        <v>31</v>
      </c>
      <c r="E105" s="1">
        <v>3</v>
      </c>
      <c r="F105" s="1" t="str">
        <f t="shared" si="7"/>
        <v>tross-OA-3</v>
      </c>
      <c r="G105" s="2">
        <v>44498</v>
      </c>
      <c r="H105" s="3">
        <v>60</v>
      </c>
      <c r="I105" s="3">
        <v>26</v>
      </c>
      <c r="J105" s="3">
        <v>20</v>
      </c>
      <c r="K105" s="3">
        <f t="shared" si="8"/>
        <v>42</v>
      </c>
      <c r="L105" s="1">
        <v>0</v>
      </c>
      <c r="M105" s="1">
        <v>1</v>
      </c>
      <c r="N105" s="1">
        <f t="shared" si="9"/>
        <v>0</v>
      </c>
      <c r="P105" s="1">
        <v>7</v>
      </c>
    </row>
    <row r="106" spans="1:16" x14ac:dyDescent="0.25">
      <c r="A106" s="1" t="s">
        <v>197</v>
      </c>
      <c r="B106" s="1" t="s">
        <v>152</v>
      </c>
      <c r="C106" s="1" t="s">
        <v>138</v>
      </c>
      <c r="D106" s="1" t="s">
        <v>31</v>
      </c>
      <c r="E106" s="1">
        <v>3</v>
      </c>
      <c r="F106" s="1" t="str">
        <f t="shared" si="7"/>
        <v>tross-OA-3</v>
      </c>
      <c r="G106" s="2">
        <v>44498</v>
      </c>
      <c r="H106" s="3">
        <v>60</v>
      </c>
      <c r="I106" s="3">
        <v>26</v>
      </c>
      <c r="J106" s="3">
        <v>20</v>
      </c>
      <c r="K106" s="3">
        <f t="shared" si="8"/>
        <v>42</v>
      </c>
      <c r="L106" s="1">
        <v>0</v>
      </c>
      <c r="M106" s="1">
        <v>1</v>
      </c>
      <c r="N106" s="1">
        <f t="shared" si="9"/>
        <v>0</v>
      </c>
      <c r="P106" s="1">
        <v>9</v>
      </c>
    </row>
    <row r="107" spans="1:16" x14ac:dyDescent="0.25">
      <c r="A107" s="1" t="s">
        <v>126</v>
      </c>
      <c r="B107" s="1" t="s">
        <v>151</v>
      </c>
      <c r="C107" s="1" t="s">
        <v>138</v>
      </c>
      <c r="D107" s="1" t="s">
        <v>47</v>
      </c>
      <c r="E107" s="1">
        <v>1</v>
      </c>
      <c r="F107" s="1" t="str">
        <f t="shared" si="7"/>
        <v>gallo-OW-1</v>
      </c>
      <c r="G107" s="2">
        <v>44498</v>
      </c>
      <c r="H107" s="3">
        <v>55</v>
      </c>
      <c r="I107" s="3">
        <v>28</v>
      </c>
      <c r="J107" s="3">
        <v>20</v>
      </c>
      <c r="K107" s="3">
        <f t="shared" si="8"/>
        <v>41</v>
      </c>
      <c r="L107" s="1">
        <v>1</v>
      </c>
      <c r="M107" s="1">
        <v>0</v>
      </c>
      <c r="N107" s="1">
        <f t="shared" si="9"/>
        <v>0</v>
      </c>
      <c r="O107" s="1">
        <v>15</v>
      </c>
    </row>
    <row r="108" spans="1:16" x14ac:dyDescent="0.25">
      <c r="A108" s="1" t="s">
        <v>127</v>
      </c>
      <c r="B108" s="1" t="s">
        <v>151</v>
      </c>
      <c r="C108" s="1" t="s">
        <v>138</v>
      </c>
      <c r="D108" s="1" t="s">
        <v>47</v>
      </c>
      <c r="E108" s="1">
        <v>1</v>
      </c>
      <c r="F108" s="1" t="str">
        <f t="shared" si="7"/>
        <v>gallo-OW-1</v>
      </c>
      <c r="G108" s="2">
        <v>44498</v>
      </c>
      <c r="H108" s="3">
        <v>64</v>
      </c>
      <c r="I108" s="3">
        <v>32</v>
      </c>
      <c r="J108" s="3">
        <v>22</v>
      </c>
      <c r="K108" s="3">
        <f t="shared" si="8"/>
        <v>60</v>
      </c>
      <c r="L108" s="1">
        <v>1</v>
      </c>
      <c r="M108" s="1">
        <v>0</v>
      </c>
      <c r="N108" s="1">
        <f t="shared" si="9"/>
        <v>0</v>
      </c>
      <c r="O108" s="1">
        <v>17</v>
      </c>
    </row>
    <row r="109" spans="1:16" x14ac:dyDescent="0.25">
      <c r="A109" s="1" t="s">
        <v>128</v>
      </c>
      <c r="B109" s="1" t="s">
        <v>151</v>
      </c>
      <c r="C109" s="1" t="s">
        <v>138</v>
      </c>
      <c r="D109" s="1" t="s">
        <v>47</v>
      </c>
      <c r="E109" s="1">
        <v>1</v>
      </c>
      <c r="F109" s="1" t="str">
        <f t="shared" si="7"/>
        <v>gallo-OW-1</v>
      </c>
      <c r="G109" s="2">
        <v>44498</v>
      </c>
      <c r="H109" s="3">
        <v>56</v>
      </c>
      <c r="I109" s="3">
        <v>30</v>
      </c>
      <c r="J109" s="3">
        <v>18</v>
      </c>
      <c r="K109" s="3">
        <f t="shared" si="8"/>
        <v>40</v>
      </c>
      <c r="L109" s="1">
        <v>1</v>
      </c>
      <c r="M109" s="1">
        <v>0</v>
      </c>
      <c r="N109" s="1">
        <f t="shared" si="9"/>
        <v>0</v>
      </c>
      <c r="O109" s="1">
        <v>14</v>
      </c>
    </row>
    <row r="110" spans="1:16" x14ac:dyDescent="0.25">
      <c r="A110" s="1" t="s">
        <v>129</v>
      </c>
      <c r="B110" s="1" t="s">
        <v>151</v>
      </c>
      <c r="C110" s="1" t="s">
        <v>138</v>
      </c>
      <c r="D110" s="1" t="s">
        <v>47</v>
      </c>
      <c r="E110" s="1">
        <v>1</v>
      </c>
      <c r="F110" s="1" t="str">
        <f t="shared" si="7"/>
        <v>gallo-OW-1</v>
      </c>
      <c r="G110" s="2">
        <v>44498</v>
      </c>
      <c r="H110" s="3">
        <v>68</v>
      </c>
      <c r="I110" s="3">
        <v>36</v>
      </c>
      <c r="J110" s="3">
        <v>22</v>
      </c>
      <c r="K110" s="3">
        <f t="shared" si="8"/>
        <v>72</v>
      </c>
      <c r="L110" s="1">
        <v>1</v>
      </c>
      <c r="M110" s="1">
        <v>0</v>
      </c>
      <c r="N110" s="1">
        <f t="shared" si="9"/>
        <v>0</v>
      </c>
      <c r="O110" s="1">
        <v>7</v>
      </c>
    </row>
    <row r="111" spans="1:16" x14ac:dyDescent="0.25">
      <c r="A111" s="1" t="s">
        <v>130</v>
      </c>
      <c r="B111" s="1" t="s">
        <v>151</v>
      </c>
      <c r="C111" s="1" t="s">
        <v>138</v>
      </c>
      <c r="D111" s="1" t="s">
        <v>47</v>
      </c>
      <c r="E111" s="1">
        <v>1</v>
      </c>
      <c r="F111" s="1" t="str">
        <f t="shared" si="7"/>
        <v>gallo-OW-1</v>
      </c>
      <c r="G111" s="2">
        <v>44498</v>
      </c>
      <c r="H111" s="3">
        <v>60</v>
      </c>
      <c r="I111" s="3">
        <v>32</v>
      </c>
      <c r="J111" s="3">
        <v>21</v>
      </c>
      <c r="K111" s="3">
        <f t="shared" si="8"/>
        <v>54</v>
      </c>
      <c r="L111" s="1">
        <v>1</v>
      </c>
      <c r="M111" s="1">
        <v>0</v>
      </c>
      <c r="N111" s="1">
        <f t="shared" si="9"/>
        <v>0</v>
      </c>
      <c r="O111" s="1">
        <v>7</v>
      </c>
    </row>
    <row r="112" spans="1:16" x14ac:dyDescent="0.25">
      <c r="A112" s="1" t="s">
        <v>111</v>
      </c>
      <c r="B112" s="1" t="s">
        <v>152</v>
      </c>
      <c r="C112" s="1" t="s">
        <v>138</v>
      </c>
      <c r="D112" s="1" t="s">
        <v>47</v>
      </c>
      <c r="E112" s="1">
        <v>1</v>
      </c>
      <c r="F112" s="1" t="str">
        <f t="shared" si="7"/>
        <v>tross-OW-1</v>
      </c>
      <c r="G112" s="2">
        <v>44498</v>
      </c>
      <c r="H112" s="3">
        <v>62</v>
      </c>
      <c r="I112" s="3">
        <v>28</v>
      </c>
      <c r="J112" s="3">
        <v>21</v>
      </c>
      <c r="K112" s="3">
        <f t="shared" si="8"/>
        <v>49</v>
      </c>
      <c r="L112" s="1">
        <v>0</v>
      </c>
      <c r="M112" s="1">
        <v>0</v>
      </c>
      <c r="N112" s="1">
        <f t="shared" si="9"/>
        <v>0</v>
      </c>
    </row>
    <row r="113" spans="1:16" x14ac:dyDescent="0.25">
      <c r="A113" s="1" t="s">
        <v>112</v>
      </c>
      <c r="B113" s="1" t="s">
        <v>152</v>
      </c>
      <c r="C113" s="1" t="s">
        <v>138</v>
      </c>
      <c r="D113" s="1" t="s">
        <v>47</v>
      </c>
      <c r="E113" s="1">
        <v>1</v>
      </c>
      <c r="F113" s="1" t="str">
        <f t="shared" si="7"/>
        <v>tross-OW-1</v>
      </c>
      <c r="G113" s="2">
        <v>44498</v>
      </c>
      <c r="H113" s="3">
        <v>60</v>
      </c>
      <c r="I113" s="3">
        <v>25</v>
      </c>
      <c r="J113" s="3">
        <v>19</v>
      </c>
      <c r="K113" s="3">
        <f t="shared" si="8"/>
        <v>38</v>
      </c>
      <c r="L113" s="1">
        <v>0</v>
      </c>
      <c r="M113" s="1">
        <v>0</v>
      </c>
      <c r="N113" s="1">
        <f t="shared" si="9"/>
        <v>0</v>
      </c>
    </row>
    <row r="114" spans="1:16" x14ac:dyDescent="0.25">
      <c r="A114" s="1" t="s">
        <v>113</v>
      </c>
      <c r="B114" s="1" t="s">
        <v>152</v>
      </c>
      <c r="C114" s="1" t="s">
        <v>138</v>
      </c>
      <c r="D114" s="1" t="s">
        <v>47</v>
      </c>
      <c r="E114" s="1">
        <v>1</v>
      </c>
      <c r="F114" s="1" t="str">
        <f t="shared" si="7"/>
        <v>tross-OW-1</v>
      </c>
      <c r="G114" s="2">
        <v>44498</v>
      </c>
      <c r="H114" s="3">
        <v>61</v>
      </c>
      <c r="I114" s="3">
        <v>26</v>
      </c>
      <c r="J114" s="3">
        <v>17</v>
      </c>
      <c r="K114" s="3">
        <f t="shared" si="8"/>
        <v>36</v>
      </c>
      <c r="L114" s="1">
        <v>0</v>
      </c>
      <c r="M114" s="1">
        <v>0</v>
      </c>
      <c r="N114" s="1">
        <f t="shared" si="9"/>
        <v>0</v>
      </c>
    </row>
    <row r="115" spans="1:16" x14ac:dyDescent="0.25">
      <c r="A115" s="1" t="s">
        <v>114</v>
      </c>
      <c r="B115" s="1" t="s">
        <v>152</v>
      </c>
      <c r="C115" s="1" t="s">
        <v>138</v>
      </c>
      <c r="D115" s="1" t="s">
        <v>47</v>
      </c>
      <c r="E115" s="1">
        <v>1</v>
      </c>
      <c r="F115" s="1" t="str">
        <f t="shared" si="7"/>
        <v>tross-OW-1</v>
      </c>
      <c r="G115" s="2">
        <v>44498</v>
      </c>
      <c r="H115" s="3">
        <v>55</v>
      </c>
      <c r="I115" s="3">
        <v>25</v>
      </c>
      <c r="J115" s="3">
        <v>17</v>
      </c>
      <c r="K115" s="3">
        <f t="shared" si="8"/>
        <v>31</v>
      </c>
      <c r="L115" s="1">
        <v>0</v>
      </c>
      <c r="M115" s="1">
        <v>0</v>
      </c>
      <c r="N115" s="1">
        <f t="shared" si="9"/>
        <v>0</v>
      </c>
    </row>
    <row r="116" spans="1:16" x14ac:dyDescent="0.25">
      <c r="A116" s="1" t="s">
        <v>115</v>
      </c>
      <c r="B116" s="1" t="s">
        <v>152</v>
      </c>
      <c r="C116" s="1" t="s">
        <v>138</v>
      </c>
      <c r="D116" s="1" t="s">
        <v>47</v>
      </c>
      <c r="E116" s="1">
        <v>1</v>
      </c>
      <c r="F116" s="1" t="str">
        <f t="shared" si="7"/>
        <v>tross-OW-1</v>
      </c>
      <c r="G116" s="2">
        <v>44498</v>
      </c>
      <c r="H116" s="3">
        <v>68</v>
      </c>
      <c r="I116" s="3">
        <v>30</v>
      </c>
      <c r="J116" s="3">
        <v>23</v>
      </c>
      <c r="K116" s="3">
        <f t="shared" si="8"/>
        <v>63</v>
      </c>
      <c r="L116" s="1">
        <v>0</v>
      </c>
      <c r="M116" s="1">
        <v>0</v>
      </c>
      <c r="N116" s="1">
        <f t="shared" si="9"/>
        <v>0</v>
      </c>
    </row>
    <row r="117" spans="1:16" x14ac:dyDescent="0.25">
      <c r="A117" s="1" t="s">
        <v>175</v>
      </c>
      <c r="B117" s="1" t="s">
        <v>151</v>
      </c>
      <c r="C117" s="1" t="s">
        <v>138</v>
      </c>
      <c r="D117" s="1" t="s">
        <v>47</v>
      </c>
      <c r="E117" s="1">
        <v>3</v>
      </c>
      <c r="F117" s="1" t="str">
        <f t="shared" si="7"/>
        <v>gallo-OW-3</v>
      </c>
      <c r="G117" s="2">
        <v>44498</v>
      </c>
      <c r="H117" s="3">
        <v>52</v>
      </c>
      <c r="I117" s="1">
        <v>32</v>
      </c>
      <c r="J117" s="1">
        <v>21</v>
      </c>
      <c r="K117" s="3">
        <f t="shared" si="8"/>
        <v>47</v>
      </c>
      <c r="L117" s="1">
        <v>0</v>
      </c>
      <c r="M117" s="1">
        <v>1</v>
      </c>
      <c r="N117" s="1">
        <f t="shared" si="9"/>
        <v>0</v>
      </c>
      <c r="P117" s="1">
        <v>18</v>
      </c>
    </row>
    <row r="118" spans="1:16" x14ac:dyDescent="0.25">
      <c r="A118" s="1" t="s">
        <v>204</v>
      </c>
      <c r="B118" s="1" t="s">
        <v>151</v>
      </c>
      <c r="C118" s="1" t="s">
        <v>138</v>
      </c>
      <c r="D118" s="1" t="s">
        <v>47</v>
      </c>
      <c r="E118" s="1">
        <v>3</v>
      </c>
      <c r="F118" s="1" t="str">
        <f t="shared" si="7"/>
        <v>gallo-OW-3</v>
      </c>
      <c r="G118" s="2">
        <v>44498</v>
      </c>
      <c r="H118" s="3">
        <v>58</v>
      </c>
      <c r="I118" s="1">
        <v>34</v>
      </c>
      <c r="J118" s="1">
        <v>28</v>
      </c>
      <c r="K118" s="3">
        <f t="shared" si="8"/>
        <v>74</v>
      </c>
      <c r="L118" s="1">
        <v>0</v>
      </c>
      <c r="M118" s="1">
        <v>1</v>
      </c>
      <c r="N118" s="1">
        <f t="shared" si="9"/>
        <v>0</v>
      </c>
      <c r="P118" s="1">
        <v>25</v>
      </c>
    </row>
    <row r="119" spans="1:16" x14ac:dyDescent="0.25">
      <c r="A119" s="1" t="s">
        <v>205</v>
      </c>
      <c r="B119" s="1" t="s">
        <v>151</v>
      </c>
      <c r="C119" s="1" t="s">
        <v>138</v>
      </c>
      <c r="D119" s="1" t="s">
        <v>47</v>
      </c>
      <c r="E119" s="1">
        <v>3</v>
      </c>
      <c r="F119" s="1" t="str">
        <f t="shared" si="7"/>
        <v>gallo-OW-3</v>
      </c>
      <c r="G119" s="2">
        <v>44498</v>
      </c>
      <c r="H119" s="3">
        <v>63</v>
      </c>
      <c r="I119" s="1">
        <v>35</v>
      </c>
      <c r="J119" s="1">
        <v>22</v>
      </c>
      <c r="K119" s="3">
        <f t="shared" si="8"/>
        <v>65</v>
      </c>
      <c r="L119" s="1">
        <v>0</v>
      </c>
      <c r="M119" s="1">
        <v>1</v>
      </c>
      <c r="N119" s="1">
        <f t="shared" si="9"/>
        <v>0</v>
      </c>
      <c r="P119" s="1">
        <v>44</v>
      </c>
    </row>
    <row r="120" spans="1:16" x14ac:dyDescent="0.25">
      <c r="A120" s="1" t="s">
        <v>206</v>
      </c>
      <c r="B120" s="1" t="s">
        <v>151</v>
      </c>
      <c r="C120" s="1" t="s">
        <v>138</v>
      </c>
      <c r="D120" s="1" t="s">
        <v>47</v>
      </c>
      <c r="E120" s="1">
        <v>3</v>
      </c>
      <c r="F120" s="1" t="str">
        <f t="shared" si="7"/>
        <v>gallo-OW-3</v>
      </c>
      <c r="G120" s="2">
        <v>44498</v>
      </c>
      <c r="H120" s="3">
        <v>54</v>
      </c>
      <c r="I120" s="1">
        <v>32</v>
      </c>
      <c r="J120" s="1">
        <v>20</v>
      </c>
      <c r="K120" s="3">
        <f t="shared" si="8"/>
        <v>46</v>
      </c>
      <c r="L120" s="1">
        <v>0</v>
      </c>
      <c r="M120" s="1">
        <v>1</v>
      </c>
      <c r="N120" s="1">
        <f t="shared" si="9"/>
        <v>0</v>
      </c>
      <c r="P120" s="1">
        <v>21</v>
      </c>
    </row>
    <row r="121" spans="1:16" x14ac:dyDescent="0.25">
      <c r="A121" s="1" t="s">
        <v>207</v>
      </c>
      <c r="B121" s="1" t="s">
        <v>151</v>
      </c>
      <c r="C121" s="1" t="s">
        <v>138</v>
      </c>
      <c r="D121" s="1" t="s">
        <v>47</v>
      </c>
      <c r="E121" s="1">
        <v>3</v>
      </c>
      <c r="F121" s="1" t="str">
        <f t="shared" si="7"/>
        <v>gallo-OW-3</v>
      </c>
      <c r="G121" s="2">
        <v>44498</v>
      </c>
      <c r="H121" s="3">
        <v>63</v>
      </c>
      <c r="I121" s="1">
        <v>32</v>
      </c>
      <c r="J121" s="1">
        <v>20</v>
      </c>
      <c r="K121" s="3">
        <f t="shared" si="8"/>
        <v>54</v>
      </c>
      <c r="L121" s="1">
        <v>0</v>
      </c>
      <c r="M121" s="1">
        <v>1</v>
      </c>
      <c r="N121" s="1">
        <f t="shared" si="9"/>
        <v>0</v>
      </c>
      <c r="P121" s="1">
        <v>5</v>
      </c>
    </row>
    <row r="122" spans="1:16" x14ac:dyDescent="0.25">
      <c r="A122" s="1" t="s">
        <v>208</v>
      </c>
      <c r="B122" s="1" t="s">
        <v>151</v>
      </c>
      <c r="C122" s="1" t="s">
        <v>138</v>
      </c>
      <c r="D122" s="1" t="s">
        <v>47</v>
      </c>
      <c r="E122" s="1">
        <v>3</v>
      </c>
      <c r="F122" s="1" t="str">
        <f t="shared" si="7"/>
        <v>gallo-OW-3</v>
      </c>
      <c r="G122" s="2">
        <v>44498</v>
      </c>
      <c r="H122" s="3">
        <v>69</v>
      </c>
      <c r="I122" s="1">
        <v>33</v>
      </c>
      <c r="J122" s="1">
        <v>25</v>
      </c>
      <c r="K122" s="3">
        <f t="shared" si="8"/>
        <v>76</v>
      </c>
      <c r="L122" s="1">
        <v>0</v>
      </c>
      <c r="M122" s="1">
        <v>1</v>
      </c>
      <c r="N122" s="1">
        <f t="shared" si="9"/>
        <v>0</v>
      </c>
      <c r="P122" s="1">
        <v>8</v>
      </c>
    </row>
    <row r="123" spans="1:16" x14ac:dyDescent="0.25">
      <c r="A123" s="1" t="s">
        <v>198</v>
      </c>
      <c r="B123" s="1" t="s">
        <v>152</v>
      </c>
      <c r="C123" s="1" t="s">
        <v>138</v>
      </c>
      <c r="D123" s="1" t="s">
        <v>47</v>
      </c>
      <c r="E123" s="1">
        <v>3</v>
      </c>
      <c r="F123" s="1" t="str">
        <f t="shared" si="7"/>
        <v>tross-OW-3</v>
      </c>
      <c r="G123" s="2">
        <v>44498</v>
      </c>
      <c r="H123" s="3">
        <v>59</v>
      </c>
      <c r="I123" s="3">
        <v>26</v>
      </c>
      <c r="J123" s="3">
        <v>18</v>
      </c>
      <c r="K123" s="3">
        <f t="shared" si="8"/>
        <v>37</v>
      </c>
      <c r="L123" s="1">
        <v>0</v>
      </c>
      <c r="M123" s="1">
        <v>1</v>
      </c>
      <c r="N123" s="1">
        <f t="shared" si="9"/>
        <v>0</v>
      </c>
      <c r="P123" s="1">
        <v>14</v>
      </c>
    </row>
    <row r="124" spans="1:16" x14ac:dyDescent="0.25">
      <c r="A124" s="1" t="s">
        <v>199</v>
      </c>
      <c r="B124" s="1" t="s">
        <v>152</v>
      </c>
      <c r="C124" s="1" t="s">
        <v>138</v>
      </c>
      <c r="D124" s="1" t="s">
        <v>47</v>
      </c>
      <c r="E124" s="1">
        <v>3</v>
      </c>
      <c r="F124" s="1" t="str">
        <f t="shared" si="7"/>
        <v>tross-OW-3</v>
      </c>
      <c r="G124" s="2">
        <v>44498</v>
      </c>
      <c r="H124" s="3">
        <v>60</v>
      </c>
      <c r="I124" s="3">
        <v>28</v>
      </c>
      <c r="J124" s="3">
        <v>19</v>
      </c>
      <c r="K124" s="3">
        <f t="shared" si="8"/>
        <v>43</v>
      </c>
      <c r="L124" s="1">
        <v>0</v>
      </c>
      <c r="M124" s="1">
        <v>1</v>
      </c>
      <c r="N124" s="1">
        <f t="shared" si="9"/>
        <v>0</v>
      </c>
      <c r="P124" s="1">
        <v>2</v>
      </c>
    </row>
    <row r="125" spans="1:16" x14ac:dyDescent="0.25">
      <c r="A125" s="1" t="s">
        <v>200</v>
      </c>
      <c r="B125" s="1" t="s">
        <v>152</v>
      </c>
      <c r="C125" s="1" t="s">
        <v>138</v>
      </c>
      <c r="D125" s="1" t="s">
        <v>47</v>
      </c>
      <c r="E125" s="1">
        <v>3</v>
      </c>
      <c r="F125" s="1" t="str">
        <f t="shared" si="7"/>
        <v>tross-OW-3</v>
      </c>
      <c r="G125" s="2">
        <v>44498</v>
      </c>
      <c r="H125" s="3">
        <v>60</v>
      </c>
      <c r="I125" s="3">
        <v>28</v>
      </c>
      <c r="J125" s="3">
        <v>20</v>
      </c>
      <c r="K125" s="3">
        <f t="shared" si="8"/>
        <v>45</v>
      </c>
      <c r="L125" s="1">
        <v>0</v>
      </c>
      <c r="M125" s="1">
        <v>1</v>
      </c>
      <c r="N125" s="1">
        <f t="shared" si="9"/>
        <v>0</v>
      </c>
      <c r="P125" s="1">
        <v>6</v>
      </c>
    </row>
    <row r="126" spans="1:16" x14ac:dyDescent="0.25">
      <c r="A126" s="1" t="s">
        <v>209</v>
      </c>
      <c r="B126" s="1" t="s">
        <v>152</v>
      </c>
      <c r="C126" s="1" t="s">
        <v>138</v>
      </c>
      <c r="D126" s="1" t="s">
        <v>47</v>
      </c>
      <c r="E126" s="1">
        <v>3</v>
      </c>
      <c r="F126" s="1" t="str">
        <f t="shared" si="7"/>
        <v>tross-OW-3</v>
      </c>
      <c r="G126" s="2">
        <v>44498</v>
      </c>
      <c r="H126" s="3">
        <v>56</v>
      </c>
      <c r="I126" s="3">
        <v>26</v>
      </c>
      <c r="J126" s="3">
        <v>20</v>
      </c>
      <c r="K126" s="3">
        <f t="shared" si="8"/>
        <v>39</v>
      </c>
      <c r="L126" s="1">
        <v>0</v>
      </c>
      <c r="M126" s="1">
        <v>1</v>
      </c>
      <c r="N126" s="1">
        <f t="shared" si="9"/>
        <v>0</v>
      </c>
      <c r="P126" s="1">
        <v>7</v>
      </c>
    </row>
    <row r="127" spans="1:16" x14ac:dyDescent="0.25">
      <c r="A127" s="1" t="s">
        <v>176</v>
      </c>
      <c r="B127" s="1" t="s">
        <v>152</v>
      </c>
      <c r="C127" s="1" t="s">
        <v>138</v>
      </c>
      <c r="D127" s="1" t="s">
        <v>47</v>
      </c>
      <c r="E127" s="1">
        <v>3</v>
      </c>
      <c r="F127" s="1" t="str">
        <f t="shared" si="7"/>
        <v>tross-OW-3</v>
      </c>
      <c r="G127" s="2">
        <v>44498</v>
      </c>
      <c r="H127" s="3">
        <v>57</v>
      </c>
      <c r="I127" s="1">
        <v>25</v>
      </c>
      <c r="J127" s="1">
        <v>18</v>
      </c>
      <c r="K127" s="3">
        <f t="shared" si="8"/>
        <v>34</v>
      </c>
      <c r="L127" s="1">
        <v>0</v>
      </c>
      <c r="M127" s="1">
        <v>1</v>
      </c>
      <c r="N127" s="1">
        <f t="shared" si="9"/>
        <v>0</v>
      </c>
      <c r="P127" s="1">
        <v>9</v>
      </c>
    </row>
    <row r="128" spans="1:16" x14ac:dyDescent="0.25">
      <c r="A128" s="1" t="s">
        <v>177</v>
      </c>
      <c r="B128" s="1" t="s">
        <v>152</v>
      </c>
      <c r="C128" s="1" t="s">
        <v>138</v>
      </c>
      <c r="D128" s="1" t="s">
        <v>47</v>
      </c>
      <c r="E128" s="1">
        <v>3</v>
      </c>
      <c r="F128" s="1" t="str">
        <f t="shared" si="7"/>
        <v>tross-OW-3</v>
      </c>
      <c r="G128" s="2">
        <v>44498</v>
      </c>
      <c r="H128" s="3">
        <v>67</v>
      </c>
      <c r="I128" s="1">
        <v>28</v>
      </c>
      <c r="J128" s="1">
        <v>19</v>
      </c>
      <c r="K128" s="3">
        <f t="shared" si="8"/>
        <v>48</v>
      </c>
      <c r="L128" s="1">
        <v>0</v>
      </c>
      <c r="M128" s="1">
        <v>1</v>
      </c>
      <c r="N128" s="1">
        <f t="shared" si="9"/>
        <v>0</v>
      </c>
      <c r="P128" s="1">
        <v>6</v>
      </c>
    </row>
    <row r="129" spans="1:16" x14ac:dyDescent="0.25">
      <c r="A129" s="1" t="s">
        <v>178</v>
      </c>
      <c r="B129" s="1" t="s">
        <v>152</v>
      </c>
      <c r="C129" s="1" t="s">
        <v>138</v>
      </c>
      <c r="D129" s="1" t="s">
        <v>47</v>
      </c>
      <c r="E129" s="1">
        <v>3</v>
      </c>
      <c r="F129" s="1" t="str">
        <f t="shared" si="7"/>
        <v>tross-OW-3</v>
      </c>
      <c r="G129" s="2">
        <v>44498</v>
      </c>
      <c r="H129" s="3">
        <v>65</v>
      </c>
      <c r="I129" s="1">
        <v>28</v>
      </c>
      <c r="J129" s="1">
        <v>20</v>
      </c>
      <c r="K129" s="3">
        <f t="shared" si="8"/>
        <v>49</v>
      </c>
      <c r="L129" s="1">
        <v>0</v>
      </c>
      <c r="M129" s="1">
        <v>1</v>
      </c>
      <c r="N129" s="1">
        <f t="shared" si="9"/>
        <v>0</v>
      </c>
      <c r="P129" s="1">
        <v>24</v>
      </c>
    </row>
    <row r="130" spans="1:16" x14ac:dyDescent="0.25">
      <c r="A130" s="1" t="s">
        <v>179</v>
      </c>
      <c r="B130" s="1" t="s">
        <v>152</v>
      </c>
      <c r="C130" s="1" t="s">
        <v>138</v>
      </c>
      <c r="D130" s="1" t="s">
        <v>47</v>
      </c>
      <c r="E130" s="1">
        <v>3</v>
      </c>
      <c r="F130" s="1" t="str">
        <f t="shared" si="7"/>
        <v>tross-OW-3</v>
      </c>
      <c r="G130" s="2">
        <v>44498</v>
      </c>
      <c r="H130" s="3">
        <v>54</v>
      </c>
      <c r="I130" s="1">
        <v>27</v>
      </c>
      <c r="J130" s="1">
        <v>19</v>
      </c>
      <c r="K130" s="3">
        <f t="shared" ref="K130:K161" si="10">ROUND((4/3)*(H130/10)*(I130/10)*(J130/10),0)</f>
        <v>37</v>
      </c>
      <c r="L130" s="1">
        <v>0</v>
      </c>
      <c r="M130" s="1">
        <v>1</v>
      </c>
      <c r="N130" s="1">
        <f t="shared" ref="N130:N161" si="11">IF(L130+M130=2,1,0)</f>
        <v>0</v>
      </c>
      <c r="P130" s="1">
        <v>26</v>
      </c>
    </row>
    <row r="131" spans="1:16" x14ac:dyDescent="0.25">
      <c r="A131" s="1" t="s">
        <v>180</v>
      </c>
      <c r="B131" s="1" t="s">
        <v>152</v>
      </c>
      <c r="C131" s="1" t="s">
        <v>138</v>
      </c>
      <c r="D131" s="1" t="s">
        <v>47</v>
      </c>
      <c r="E131" s="1">
        <v>3</v>
      </c>
      <c r="F131" s="1" t="str">
        <f t="shared" ref="F131" si="12">B131&amp;"-"&amp;D131&amp;"-"&amp;E131</f>
        <v>tross-OW-3</v>
      </c>
      <c r="G131" s="2">
        <v>44498</v>
      </c>
      <c r="H131" s="3">
        <v>66</v>
      </c>
      <c r="I131" s="1">
        <v>28</v>
      </c>
      <c r="J131" s="1">
        <v>22</v>
      </c>
      <c r="K131" s="3">
        <f t="shared" si="10"/>
        <v>54</v>
      </c>
      <c r="L131" s="1">
        <v>0</v>
      </c>
      <c r="M131" s="1">
        <v>1</v>
      </c>
      <c r="N131" s="1">
        <f t="shared" si="11"/>
        <v>0</v>
      </c>
      <c r="P131" s="1">
        <v>12</v>
      </c>
    </row>
    <row r="132" spans="1:16" x14ac:dyDescent="0.25">
      <c r="A132" s="1" t="s">
        <v>85</v>
      </c>
      <c r="B132" s="1" t="s">
        <v>151</v>
      </c>
      <c r="C132" s="1" t="s">
        <v>139</v>
      </c>
      <c r="D132" s="1" t="s">
        <v>31</v>
      </c>
      <c r="E132" s="1">
        <v>1</v>
      </c>
      <c r="F132" s="1" t="str">
        <f>B132&amp;"-"&amp;D132&amp;"-"&amp;E132</f>
        <v>gallo-OA-1</v>
      </c>
      <c r="H132" s="3">
        <v>71</v>
      </c>
      <c r="I132" s="3">
        <v>38</v>
      </c>
      <c r="J132" s="3">
        <v>29</v>
      </c>
      <c r="K132" s="3">
        <f t="shared" si="10"/>
        <v>104</v>
      </c>
      <c r="L132" s="1">
        <v>1</v>
      </c>
      <c r="M132" s="1">
        <v>0</v>
      </c>
      <c r="N132" s="1">
        <f t="shared" si="11"/>
        <v>0</v>
      </c>
      <c r="O132" s="1">
        <v>24</v>
      </c>
    </row>
    <row r="133" spans="1:16" x14ac:dyDescent="0.25">
      <c r="A133" s="1" t="s">
        <v>86</v>
      </c>
      <c r="B133" s="1" t="s">
        <v>151</v>
      </c>
      <c r="C133" s="1" t="s">
        <v>139</v>
      </c>
      <c r="D133" s="1" t="s">
        <v>47</v>
      </c>
      <c r="E133" s="1">
        <v>1</v>
      </c>
      <c r="F133" s="1" t="str">
        <f t="shared" ref="F133:F195" si="13">B133&amp;"-"&amp;D133&amp;"-"&amp;E133</f>
        <v>gallo-OW-1</v>
      </c>
      <c r="H133" s="3">
        <v>61</v>
      </c>
      <c r="I133" s="3">
        <v>31</v>
      </c>
      <c r="J133" s="3">
        <v>21</v>
      </c>
      <c r="K133" s="3">
        <f t="shared" si="10"/>
        <v>53</v>
      </c>
      <c r="L133" s="1">
        <v>1</v>
      </c>
      <c r="M133" s="1">
        <v>0</v>
      </c>
      <c r="N133" s="1">
        <f t="shared" si="11"/>
        <v>0</v>
      </c>
      <c r="O133" s="1">
        <v>10</v>
      </c>
    </row>
    <row r="134" spans="1:16" x14ac:dyDescent="0.25">
      <c r="A134" s="1" t="s">
        <v>88</v>
      </c>
      <c r="B134" s="1" t="s">
        <v>151</v>
      </c>
      <c r="C134" s="1" t="s">
        <v>139</v>
      </c>
      <c r="D134" s="1" t="s">
        <v>47</v>
      </c>
      <c r="E134" s="1">
        <v>1</v>
      </c>
      <c r="F134" s="1" t="str">
        <f t="shared" si="13"/>
        <v>gallo-OW-1</v>
      </c>
      <c r="H134" s="3">
        <v>55</v>
      </c>
      <c r="I134" s="3">
        <v>32</v>
      </c>
      <c r="J134" s="3">
        <v>21</v>
      </c>
      <c r="K134" s="3">
        <f t="shared" si="10"/>
        <v>49</v>
      </c>
      <c r="L134" s="1">
        <v>1</v>
      </c>
      <c r="M134" s="1">
        <v>0</v>
      </c>
      <c r="N134" s="1">
        <f t="shared" si="11"/>
        <v>0</v>
      </c>
      <c r="O134" s="1">
        <v>8</v>
      </c>
    </row>
    <row r="135" spans="1:16" x14ac:dyDescent="0.25">
      <c r="A135" s="1" t="s">
        <v>89</v>
      </c>
      <c r="B135" s="1" t="s">
        <v>151</v>
      </c>
      <c r="C135" s="1" t="s">
        <v>139</v>
      </c>
      <c r="D135" s="1" t="s">
        <v>47</v>
      </c>
      <c r="E135" s="1">
        <v>1</v>
      </c>
      <c r="F135" s="1" t="str">
        <f t="shared" si="13"/>
        <v>gallo-OW-1</v>
      </c>
      <c r="H135" s="3">
        <v>55</v>
      </c>
      <c r="I135" s="3">
        <v>31</v>
      </c>
      <c r="J135" s="3">
        <v>20</v>
      </c>
      <c r="K135" s="3">
        <f t="shared" si="10"/>
        <v>45</v>
      </c>
      <c r="L135" s="1">
        <v>1</v>
      </c>
      <c r="M135" s="1">
        <v>0</v>
      </c>
      <c r="N135" s="1">
        <f t="shared" si="11"/>
        <v>0</v>
      </c>
      <c r="O135" s="1">
        <v>7</v>
      </c>
    </row>
    <row r="136" spans="1:16" x14ac:dyDescent="0.25">
      <c r="A136" s="1" t="s">
        <v>93</v>
      </c>
      <c r="B136" s="1" t="s">
        <v>151</v>
      </c>
      <c r="C136" s="1" t="s">
        <v>139</v>
      </c>
      <c r="D136" s="1" t="s">
        <v>63</v>
      </c>
      <c r="E136" s="1">
        <v>1</v>
      </c>
      <c r="F136" s="1" t="str">
        <f t="shared" si="13"/>
        <v>gallo-DO-1</v>
      </c>
      <c r="H136" s="3">
        <v>68</v>
      </c>
      <c r="I136" s="3">
        <v>38</v>
      </c>
      <c r="J136" s="3">
        <v>25</v>
      </c>
      <c r="K136" s="3">
        <f t="shared" si="10"/>
        <v>86</v>
      </c>
      <c r="L136" s="1">
        <v>1</v>
      </c>
      <c r="M136" s="1">
        <v>0</v>
      </c>
      <c r="N136" s="1">
        <f t="shared" si="11"/>
        <v>0</v>
      </c>
      <c r="O136" s="1">
        <v>7</v>
      </c>
    </row>
    <row r="137" spans="1:16" x14ac:dyDescent="0.25">
      <c r="A137" s="1" t="s">
        <v>95</v>
      </c>
      <c r="B137" s="1" t="s">
        <v>151</v>
      </c>
      <c r="C137" s="1" t="s">
        <v>139</v>
      </c>
      <c r="D137" s="1" t="s">
        <v>63</v>
      </c>
      <c r="E137" s="1">
        <v>1</v>
      </c>
      <c r="F137" s="1" t="str">
        <f t="shared" si="13"/>
        <v>gallo-DO-1</v>
      </c>
      <c r="H137" s="3">
        <v>55</v>
      </c>
      <c r="I137" s="3">
        <v>30</v>
      </c>
      <c r="J137" s="3">
        <v>21</v>
      </c>
      <c r="K137" s="3">
        <f t="shared" si="10"/>
        <v>46</v>
      </c>
      <c r="L137" s="1">
        <v>1</v>
      </c>
      <c r="M137" s="1">
        <v>0</v>
      </c>
      <c r="N137" s="1">
        <f t="shared" si="11"/>
        <v>0</v>
      </c>
      <c r="O137" s="1">
        <v>15</v>
      </c>
    </row>
    <row r="138" spans="1:16" x14ac:dyDescent="0.25">
      <c r="A138" s="1" t="s">
        <v>96</v>
      </c>
      <c r="B138" s="1" t="s">
        <v>151</v>
      </c>
      <c r="C138" s="1" t="s">
        <v>139</v>
      </c>
      <c r="D138" s="1" t="s">
        <v>63</v>
      </c>
      <c r="E138" s="1">
        <v>1</v>
      </c>
      <c r="F138" s="1" t="str">
        <f t="shared" si="13"/>
        <v>gallo-DO-1</v>
      </c>
      <c r="H138" s="3">
        <v>65</v>
      </c>
      <c r="I138" s="3">
        <v>34</v>
      </c>
      <c r="J138" s="3">
        <v>23</v>
      </c>
      <c r="K138" s="3">
        <f t="shared" si="10"/>
        <v>68</v>
      </c>
      <c r="L138" s="1">
        <v>1</v>
      </c>
      <c r="M138" s="1">
        <v>0</v>
      </c>
      <c r="N138" s="1">
        <f t="shared" si="11"/>
        <v>0</v>
      </c>
      <c r="O138" s="1">
        <v>9</v>
      </c>
    </row>
    <row r="139" spans="1:16" x14ac:dyDescent="0.25">
      <c r="A139" s="1" t="s">
        <v>210</v>
      </c>
      <c r="B139" s="1" t="s">
        <v>152</v>
      </c>
      <c r="C139" s="1" t="s">
        <v>138</v>
      </c>
      <c r="D139" s="1" t="s">
        <v>63</v>
      </c>
      <c r="E139" s="1">
        <v>3</v>
      </c>
      <c r="F139" s="1" t="str">
        <f t="shared" si="13"/>
        <v>tross-DO-3</v>
      </c>
      <c r="G139" s="2">
        <v>44498</v>
      </c>
      <c r="H139" s="3">
        <v>57</v>
      </c>
      <c r="I139" s="3">
        <v>28</v>
      </c>
      <c r="J139" s="3">
        <v>19</v>
      </c>
      <c r="K139" s="3">
        <f t="shared" si="10"/>
        <v>40</v>
      </c>
      <c r="L139" s="1">
        <v>0</v>
      </c>
      <c r="M139" s="1">
        <v>0</v>
      </c>
      <c r="N139" s="1">
        <f t="shared" si="11"/>
        <v>0</v>
      </c>
    </row>
    <row r="140" spans="1:16" x14ac:dyDescent="0.25">
      <c r="A140" s="1" t="s">
        <v>30</v>
      </c>
      <c r="B140" s="1" t="s">
        <v>152</v>
      </c>
      <c r="C140" s="1" t="s">
        <v>139</v>
      </c>
      <c r="D140" s="1" t="s">
        <v>31</v>
      </c>
      <c r="E140" s="1">
        <v>1</v>
      </c>
      <c r="F140" s="1" t="str">
        <f t="shared" si="13"/>
        <v>tross-OA-1</v>
      </c>
      <c r="G140" s="2"/>
      <c r="H140" s="3">
        <v>60</v>
      </c>
      <c r="I140" s="3">
        <v>29</v>
      </c>
      <c r="J140" s="3">
        <v>19</v>
      </c>
      <c r="K140" s="3">
        <f t="shared" si="10"/>
        <v>44</v>
      </c>
      <c r="L140" s="1">
        <v>1</v>
      </c>
      <c r="M140" s="1">
        <v>0</v>
      </c>
      <c r="N140" s="1">
        <f t="shared" si="11"/>
        <v>0</v>
      </c>
      <c r="O140" s="1">
        <v>7</v>
      </c>
    </row>
    <row r="141" spans="1:16" x14ac:dyDescent="0.25">
      <c r="A141" s="1" t="s">
        <v>36</v>
      </c>
      <c r="B141" s="1" t="s">
        <v>152</v>
      </c>
      <c r="C141" s="1" t="s">
        <v>139</v>
      </c>
      <c r="D141" s="1" t="s">
        <v>31</v>
      </c>
      <c r="E141" s="1">
        <v>1</v>
      </c>
      <c r="F141" s="1" t="str">
        <f t="shared" si="13"/>
        <v>tross-OA-1</v>
      </c>
      <c r="H141" s="3">
        <v>59</v>
      </c>
      <c r="I141" s="3">
        <v>26</v>
      </c>
      <c r="J141" s="3">
        <v>20</v>
      </c>
      <c r="K141" s="3">
        <f t="shared" si="10"/>
        <v>41</v>
      </c>
      <c r="L141" s="1">
        <v>1</v>
      </c>
      <c r="M141" s="1">
        <v>0</v>
      </c>
      <c r="N141" s="1">
        <f t="shared" si="11"/>
        <v>0</v>
      </c>
      <c r="O141" s="1">
        <v>16</v>
      </c>
    </row>
    <row r="142" spans="1:16" x14ac:dyDescent="0.25">
      <c r="A142" s="1" t="s">
        <v>38</v>
      </c>
      <c r="B142" s="1" t="s">
        <v>152</v>
      </c>
      <c r="C142" s="1" t="s">
        <v>139</v>
      </c>
      <c r="D142" s="1" t="s">
        <v>31</v>
      </c>
      <c r="E142" s="1">
        <v>1</v>
      </c>
      <c r="F142" s="1" t="str">
        <f t="shared" si="13"/>
        <v>tross-OA-1</v>
      </c>
      <c r="H142" s="3">
        <v>66</v>
      </c>
      <c r="I142" s="3">
        <v>29</v>
      </c>
      <c r="J142" s="3">
        <v>21</v>
      </c>
      <c r="K142" s="3">
        <f t="shared" si="10"/>
        <v>54</v>
      </c>
      <c r="L142" s="1">
        <v>1</v>
      </c>
      <c r="M142" s="1">
        <v>0</v>
      </c>
      <c r="N142" s="1">
        <f t="shared" si="11"/>
        <v>0</v>
      </c>
      <c r="O142" s="1">
        <v>10</v>
      </c>
    </row>
    <row r="143" spans="1:16" x14ac:dyDescent="0.25">
      <c r="A143" s="1" t="s">
        <v>40</v>
      </c>
      <c r="B143" s="1" t="s">
        <v>152</v>
      </c>
      <c r="C143" s="1" t="s">
        <v>139</v>
      </c>
      <c r="D143" s="1" t="s">
        <v>31</v>
      </c>
      <c r="E143" s="1">
        <v>1</v>
      </c>
      <c r="F143" s="1" t="str">
        <f t="shared" si="13"/>
        <v>tross-OA-1</v>
      </c>
      <c r="H143" s="3">
        <v>57</v>
      </c>
      <c r="I143" s="3">
        <v>28</v>
      </c>
      <c r="J143" s="3">
        <v>19</v>
      </c>
      <c r="K143" s="3">
        <f t="shared" si="10"/>
        <v>40</v>
      </c>
      <c r="L143" s="1">
        <v>1</v>
      </c>
      <c r="M143" s="1">
        <v>0</v>
      </c>
      <c r="N143" s="1">
        <f t="shared" si="11"/>
        <v>0</v>
      </c>
      <c r="O143" s="1">
        <v>9</v>
      </c>
    </row>
    <row r="144" spans="1:16" x14ac:dyDescent="0.25">
      <c r="A144" s="1" t="s">
        <v>42</v>
      </c>
      <c r="B144" s="1" t="s">
        <v>152</v>
      </c>
      <c r="C144" s="1" t="s">
        <v>139</v>
      </c>
      <c r="D144" s="1" t="s">
        <v>31</v>
      </c>
      <c r="E144" s="1">
        <v>1</v>
      </c>
      <c r="F144" s="1" t="str">
        <f t="shared" si="13"/>
        <v>tross-OA-1</v>
      </c>
      <c r="H144" s="3">
        <v>68</v>
      </c>
      <c r="I144" s="3">
        <v>27</v>
      </c>
      <c r="J144" s="3">
        <v>21</v>
      </c>
      <c r="K144" s="3">
        <f t="shared" si="10"/>
        <v>51</v>
      </c>
      <c r="L144" s="1">
        <v>1</v>
      </c>
      <c r="M144" s="1">
        <v>0</v>
      </c>
      <c r="N144" s="1">
        <f t="shared" si="11"/>
        <v>0</v>
      </c>
      <c r="O144" s="1">
        <v>13</v>
      </c>
    </row>
    <row r="145" spans="1:16" x14ac:dyDescent="0.25">
      <c r="A145" s="1" t="s">
        <v>46</v>
      </c>
      <c r="B145" s="1" t="s">
        <v>152</v>
      </c>
      <c r="C145" s="1" t="s">
        <v>139</v>
      </c>
      <c r="D145" s="1" t="s">
        <v>47</v>
      </c>
      <c r="E145" s="1">
        <v>1</v>
      </c>
      <c r="F145" s="1" t="str">
        <f t="shared" si="13"/>
        <v>tross-OW-1</v>
      </c>
      <c r="H145" s="3">
        <v>57</v>
      </c>
      <c r="I145" s="3">
        <v>28</v>
      </c>
      <c r="J145" s="3">
        <v>18</v>
      </c>
      <c r="K145" s="3">
        <f t="shared" si="10"/>
        <v>38</v>
      </c>
      <c r="L145" s="1">
        <v>1</v>
      </c>
      <c r="M145" s="1">
        <v>0</v>
      </c>
      <c r="N145" s="1">
        <f t="shared" si="11"/>
        <v>0</v>
      </c>
      <c r="O145" s="1">
        <v>10</v>
      </c>
    </row>
    <row r="146" spans="1:16" x14ac:dyDescent="0.25">
      <c r="A146" s="1" t="s">
        <v>51</v>
      </c>
      <c r="B146" s="1" t="s">
        <v>152</v>
      </c>
      <c r="C146" s="1" t="s">
        <v>139</v>
      </c>
      <c r="D146" s="1" t="s">
        <v>47</v>
      </c>
      <c r="E146" s="1">
        <v>1</v>
      </c>
      <c r="F146" s="1" t="str">
        <f t="shared" si="13"/>
        <v>tross-OW-1</v>
      </c>
      <c r="H146" s="3">
        <v>52</v>
      </c>
      <c r="I146" s="3">
        <v>24</v>
      </c>
      <c r="J146" s="3">
        <v>18</v>
      </c>
      <c r="K146" s="3">
        <f t="shared" si="10"/>
        <v>30</v>
      </c>
      <c r="L146" s="1">
        <v>1</v>
      </c>
      <c r="M146" s="1">
        <v>0</v>
      </c>
      <c r="N146" s="1">
        <f t="shared" si="11"/>
        <v>0</v>
      </c>
      <c r="O146" s="1">
        <v>6</v>
      </c>
    </row>
    <row r="147" spans="1:16" x14ac:dyDescent="0.25">
      <c r="A147" s="1" t="s">
        <v>62</v>
      </c>
      <c r="B147" s="1" t="s">
        <v>152</v>
      </c>
      <c r="C147" s="1" t="s">
        <v>139</v>
      </c>
      <c r="D147" s="1" t="s">
        <v>63</v>
      </c>
      <c r="E147" s="1">
        <v>1</v>
      </c>
      <c r="F147" s="1" t="str">
        <f t="shared" si="13"/>
        <v>tross-DO-1</v>
      </c>
      <c r="H147" s="3">
        <v>62</v>
      </c>
      <c r="I147" s="3">
        <v>29</v>
      </c>
      <c r="J147" s="3">
        <v>23</v>
      </c>
      <c r="K147" s="3">
        <f t="shared" si="10"/>
        <v>55</v>
      </c>
      <c r="L147" s="1">
        <v>1</v>
      </c>
      <c r="M147" s="1">
        <v>0</v>
      </c>
      <c r="N147" s="1">
        <f t="shared" si="11"/>
        <v>0</v>
      </c>
      <c r="O147" s="1">
        <v>6</v>
      </c>
    </row>
    <row r="148" spans="1:16" x14ac:dyDescent="0.25">
      <c r="A148" s="1" t="s">
        <v>64</v>
      </c>
      <c r="B148" s="1" t="s">
        <v>152</v>
      </c>
      <c r="C148" s="1" t="s">
        <v>139</v>
      </c>
      <c r="D148" s="1" t="s">
        <v>63</v>
      </c>
      <c r="E148" s="1">
        <v>1</v>
      </c>
      <c r="F148" s="1" t="str">
        <f t="shared" si="13"/>
        <v>tross-DO-1</v>
      </c>
      <c r="H148" s="3">
        <v>52</v>
      </c>
      <c r="I148" s="3">
        <v>25</v>
      </c>
      <c r="J148" s="3">
        <v>17</v>
      </c>
      <c r="K148" s="3">
        <f t="shared" si="10"/>
        <v>29</v>
      </c>
      <c r="L148" s="1">
        <v>1</v>
      </c>
      <c r="M148" s="1">
        <v>0</v>
      </c>
      <c r="N148" s="1">
        <f t="shared" si="11"/>
        <v>0</v>
      </c>
      <c r="O148" s="1">
        <v>7</v>
      </c>
    </row>
    <row r="149" spans="1:16" x14ac:dyDescent="0.25">
      <c r="A149" s="1" t="s">
        <v>65</v>
      </c>
      <c r="B149" s="1" t="s">
        <v>152</v>
      </c>
      <c r="C149" s="1" t="s">
        <v>139</v>
      </c>
      <c r="D149" s="1" t="s">
        <v>63</v>
      </c>
      <c r="E149" s="1">
        <v>1</v>
      </c>
      <c r="F149" s="1" t="str">
        <f t="shared" si="13"/>
        <v>tross-DO-1</v>
      </c>
      <c r="H149" s="3">
        <v>56</v>
      </c>
      <c r="I149" s="3">
        <v>25</v>
      </c>
      <c r="J149" s="3">
        <v>20</v>
      </c>
      <c r="K149" s="3">
        <f t="shared" si="10"/>
        <v>37</v>
      </c>
      <c r="L149" s="1">
        <v>1</v>
      </c>
      <c r="M149" s="1">
        <v>0</v>
      </c>
      <c r="N149" s="1">
        <f t="shared" si="11"/>
        <v>0</v>
      </c>
      <c r="O149" s="1">
        <v>11</v>
      </c>
    </row>
    <row r="150" spans="1:16" x14ac:dyDescent="0.25">
      <c r="A150" s="1" t="s">
        <v>68</v>
      </c>
      <c r="B150" s="1" t="s">
        <v>152</v>
      </c>
      <c r="C150" s="1" t="s">
        <v>139</v>
      </c>
      <c r="D150" s="1" t="s">
        <v>63</v>
      </c>
      <c r="E150" s="1">
        <v>1</v>
      </c>
      <c r="F150" s="1" t="str">
        <f t="shared" si="13"/>
        <v>tross-DO-1</v>
      </c>
      <c r="H150" s="3">
        <v>63</v>
      </c>
      <c r="I150" s="3">
        <v>28</v>
      </c>
      <c r="J150" s="3">
        <v>19</v>
      </c>
      <c r="K150" s="3">
        <f t="shared" si="10"/>
        <v>45</v>
      </c>
      <c r="L150" s="1">
        <v>1</v>
      </c>
      <c r="M150" s="1">
        <v>0</v>
      </c>
      <c r="N150" s="1">
        <f t="shared" si="11"/>
        <v>0</v>
      </c>
      <c r="O150" s="1">
        <v>6</v>
      </c>
    </row>
    <row r="151" spans="1:16" x14ac:dyDescent="0.25">
      <c r="A151" s="1" t="s">
        <v>70</v>
      </c>
      <c r="B151" s="1" t="s">
        <v>152</v>
      </c>
      <c r="C151" s="1" t="s">
        <v>139</v>
      </c>
      <c r="D151" s="1" t="s">
        <v>63</v>
      </c>
      <c r="E151" s="1">
        <v>1</v>
      </c>
      <c r="F151" s="1" t="str">
        <f t="shared" si="13"/>
        <v>tross-DO-1</v>
      </c>
      <c r="H151" s="3">
        <v>60</v>
      </c>
      <c r="I151" s="3">
        <v>28</v>
      </c>
      <c r="J151" s="3">
        <v>20</v>
      </c>
      <c r="K151" s="3">
        <f t="shared" si="10"/>
        <v>45</v>
      </c>
      <c r="L151" s="1">
        <v>1</v>
      </c>
      <c r="M151" s="1">
        <v>0</v>
      </c>
      <c r="N151" s="1">
        <f t="shared" si="11"/>
        <v>0</v>
      </c>
      <c r="O151" s="1">
        <v>14</v>
      </c>
    </row>
    <row r="152" spans="1:16" x14ac:dyDescent="0.25">
      <c r="A152" s="1" t="s">
        <v>73</v>
      </c>
      <c r="B152" s="1" t="s">
        <v>152</v>
      </c>
      <c r="C152" s="1" t="s">
        <v>139</v>
      </c>
      <c r="D152" s="1" t="s">
        <v>63</v>
      </c>
      <c r="E152" s="1">
        <v>1</v>
      </c>
      <c r="F152" s="1" t="str">
        <f t="shared" si="13"/>
        <v>tross-DO-1</v>
      </c>
      <c r="H152" s="3">
        <v>58</v>
      </c>
      <c r="I152" s="3">
        <v>25</v>
      </c>
      <c r="J152" s="3">
        <v>16</v>
      </c>
      <c r="K152" s="3">
        <f t="shared" si="10"/>
        <v>31</v>
      </c>
      <c r="L152" s="1">
        <v>1</v>
      </c>
      <c r="M152" s="1">
        <v>0</v>
      </c>
      <c r="N152" s="1">
        <f t="shared" si="11"/>
        <v>0</v>
      </c>
      <c r="O152" s="1">
        <v>22</v>
      </c>
    </row>
    <row r="153" spans="1:16" x14ac:dyDescent="0.25">
      <c r="A153" s="1" t="s">
        <v>74</v>
      </c>
      <c r="B153" s="1" t="s">
        <v>152</v>
      </c>
      <c r="C153" s="1" t="s">
        <v>139</v>
      </c>
      <c r="D153" s="1" t="s">
        <v>63</v>
      </c>
      <c r="E153" s="1">
        <v>1</v>
      </c>
      <c r="F153" s="1" t="str">
        <f t="shared" si="13"/>
        <v>tross-DO-1</v>
      </c>
      <c r="H153" s="3">
        <v>57</v>
      </c>
      <c r="I153" s="3">
        <v>24</v>
      </c>
      <c r="J153" s="3">
        <v>16</v>
      </c>
      <c r="K153" s="3">
        <f t="shared" si="10"/>
        <v>29</v>
      </c>
      <c r="L153" s="1">
        <v>1</v>
      </c>
      <c r="M153" s="1">
        <v>0</v>
      </c>
      <c r="N153" s="1">
        <f t="shared" si="11"/>
        <v>0</v>
      </c>
      <c r="O153" s="1">
        <v>6</v>
      </c>
    </row>
    <row r="154" spans="1:16" x14ac:dyDescent="0.25">
      <c r="A154" s="1" t="s">
        <v>66</v>
      </c>
      <c r="B154" s="1" t="s">
        <v>152</v>
      </c>
      <c r="C154" s="1" t="s">
        <v>139</v>
      </c>
      <c r="D154" s="1" t="s">
        <v>63</v>
      </c>
      <c r="E154" s="1">
        <v>3</v>
      </c>
      <c r="F154" s="1" t="str">
        <f t="shared" si="13"/>
        <v>tross-DO-3</v>
      </c>
      <c r="G154" s="2">
        <v>44498</v>
      </c>
      <c r="H154" s="3">
        <v>67</v>
      </c>
      <c r="I154" s="3">
        <v>26</v>
      </c>
      <c r="J154" s="3">
        <v>23</v>
      </c>
      <c r="K154" s="3">
        <f t="shared" si="10"/>
        <v>53</v>
      </c>
      <c r="L154" s="1">
        <v>1</v>
      </c>
      <c r="M154" s="1">
        <v>1</v>
      </c>
      <c r="N154" s="1">
        <f t="shared" si="11"/>
        <v>1</v>
      </c>
      <c r="O154" s="1">
        <v>20</v>
      </c>
      <c r="P154" s="1">
        <v>3</v>
      </c>
    </row>
    <row r="155" spans="1:16" x14ac:dyDescent="0.25">
      <c r="A155" s="1" t="s">
        <v>67</v>
      </c>
      <c r="B155" s="1" t="s">
        <v>152</v>
      </c>
      <c r="C155" s="1" t="s">
        <v>139</v>
      </c>
      <c r="D155" s="1" t="s">
        <v>63</v>
      </c>
      <c r="E155" s="1">
        <v>3</v>
      </c>
      <c r="F155" s="1" t="str">
        <f t="shared" si="13"/>
        <v>tross-DO-3</v>
      </c>
      <c r="G155" s="2">
        <v>44498</v>
      </c>
      <c r="H155" s="3">
        <v>58</v>
      </c>
      <c r="I155" s="3">
        <v>27</v>
      </c>
      <c r="J155" s="3">
        <v>19</v>
      </c>
      <c r="K155" s="3">
        <f t="shared" si="10"/>
        <v>40</v>
      </c>
      <c r="L155" s="1">
        <v>1</v>
      </c>
      <c r="M155" s="1">
        <v>1</v>
      </c>
      <c r="N155" s="1">
        <f t="shared" si="11"/>
        <v>1</v>
      </c>
      <c r="O155" s="1">
        <v>12</v>
      </c>
      <c r="P155" s="1">
        <v>4</v>
      </c>
    </row>
    <row r="156" spans="1:16" x14ac:dyDescent="0.25">
      <c r="A156" s="1" t="s">
        <v>69</v>
      </c>
      <c r="B156" s="1" t="s">
        <v>152</v>
      </c>
      <c r="C156" s="1" t="s">
        <v>139</v>
      </c>
      <c r="D156" s="1" t="s">
        <v>63</v>
      </c>
      <c r="E156" s="1">
        <v>3</v>
      </c>
      <c r="F156" s="1" t="str">
        <f t="shared" si="13"/>
        <v>tross-DO-3</v>
      </c>
      <c r="G156" s="2">
        <v>44498</v>
      </c>
      <c r="H156" s="3">
        <v>54</v>
      </c>
      <c r="I156" s="3">
        <v>24</v>
      </c>
      <c r="J156" s="3">
        <v>16</v>
      </c>
      <c r="K156" s="3">
        <f t="shared" si="10"/>
        <v>28</v>
      </c>
      <c r="L156" s="1">
        <v>1</v>
      </c>
      <c r="M156" s="1">
        <v>1</v>
      </c>
      <c r="N156" s="1">
        <f t="shared" si="11"/>
        <v>1</v>
      </c>
      <c r="O156" s="1">
        <v>8</v>
      </c>
      <c r="P156" s="1">
        <v>1</v>
      </c>
    </row>
    <row r="157" spans="1:16" x14ac:dyDescent="0.25">
      <c r="A157" s="1" t="s">
        <v>71</v>
      </c>
      <c r="B157" s="1" t="s">
        <v>152</v>
      </c>
      <c r="C157" s="1" t="s">
        <v>139</v>
      </c>
      <c r="D157" s="1" t="s">
        <v>63</v>
      </c>
      <c r="E157" s="1">
        <v>3</v>
      </c>
      <c r="F157" s="1" t="str">
        <f t="shared" si="13"/>
        <v>tross-DO-3</v>
      </c>
      <c r="G157" s="2">
        <v>44498</v>
      </c>
      <c r="H157" s="3">
        <v>56</v>
      </c>
      <c r="I157" s="3">
        <v>24</v>
      </c>
      <c r="J157" s="3">
        <v>20</v>
      </c>
      <c r="K157" s="3">
        <f t="shared" si="10"/>
        <v>36</v>
      </c>
      <c r="L157" s="1">
        <v>1</v>
      </c>
      <c r="M157" s="1">
        <v>1</v>
      </c>
      <c r="N157" s="1">
        <f t="shared" si="11"/>
        <v>1</v>
      </c>
      <c r="O157" s="1">
        <v>6</v>
      </c>
      <c r="P157" s="1">
        <v>5</v>
      </c>
    </row>
    <row r="158" spans="1:16" x14ac:dyDescent="0.25">
      <c r="A158" s="1" t="s">
        <v>72</v>
      </c>
      <c r="B158" s="1" t="s">
        <v>152</v>
      </c>
      <c r="C158" s="1" t="s">
        <v>139</v>
      </c>
      <c r="D158" s="1" t="s">
        <v>63</v>
      </c>
      <c r="E158" s="1">
        <v>3</v>
      </c>
      <c r="F158" s="1" t="str">
        <f t="shared" si="13"/>
        <v>tross-DO-3</v>
      </c>
      <c r="G158" s="2">
        <v>44498</v>
      </c>
      <c r="H158" s="3">
        <v>55</v>
      </c>
      <c r="I158" s="3">
        <v>24</v>
      </c>
      <c r="J158" s="3">
        <v>18</v>
      </c>
      <c r="K158" s="3">
        <f t="shared" si="10"/>
        <v>32</v>
      </c>
      <c r="L158" s="1">
        <v>1</v>
      </c>
      <c r="M158" s="1">
        <v>1</v>
      </c>
      <c r="N158" s="1">
        <f t="shared" si="11"/>
        <v>1</v>
      </c>
      <c r="O158" s="1">
        <v>5</v>
      </c>
      <c r="P158" s="1">
        <v>7</v>
      </c>
    </row>
    <row r="159" spans="1:16" x14ac:dyDescent="0.25">
      <c r="A159" s="1" t="s">
        <v>75</v>
      </c>
      <c r="B159" s="1" t="s">
        <v>152</v>
      </c>
      <c r="C159" s="1" t="s">
        <v>139</v>
      </c>
      <c r="D159" s="1" t="s">
        <v>63</v>
      </c>
      <c r="E159" s="1">
        <v>3</v>
      </c>
      <c r="F159" s="1" t="str">
        <f t="shared" si="13"/>
        <v>tross-DO-3</v>
      </c>
      <c r="G159" s="2">
        <v>44498</v>
      </c>
      <c r="H159" s="3">
        <v>57</v>
      </c>
      <c r="I159" s="3">
        <v>25</v>
      </c>
      <c r="J159" s="3">
        <v>18</v>
      </c>
      <c r="K159" s="3">
        <f t="shared" si="10"/>
        <v>34</v>
      </c>
      <c r="L159" s="1">
        <v>1</v>
      </c>
      <c r="M159" s="1">
        <v>1</v>
      </c>
      <c r="N159" s="1">
        <f t="shared" si="11"/>
        <v>1</v>
      </c>
      <c r="O159" s="1">
        <v>13</v>
      </c>
      <c r="P159" s="1">
        <v>4</v>
      </c>
    </row>
    <row r="160" spans="1:16" x14ac:dyDescent="0.25">
      <c r="A160" s="1" t="s">
        <v>76</v>
      </c>
      <c r="B160" s="1" t="s">
        <v>152</v>
      </c>
      <c r="C160" s="1" t="s">
        <v>139</v>
      </c>
      <c r="D160" s="1" t="s">
        <v>63</v>
      </c>
      <c r="E160" s="1">
        <v>3</v>
      </c>
      <c r="F160" s="1" t="str">
        <f t="shared" si="13"/>
        <v>tross-DO-3</v>
      </c>
      <c r="G160" s="2">
        <v>44498</v>
      </c>
      <c r="H160" s="3">
        <v>61</v>
      </c>
      <c r="I160" s="3">
        <v>25</v>
      </c>
      <c r="J160" s="3">
        <v>20</v>
      </c>
      <c r="K160" s="3">
        <f t="shared" si="10"/>
        <v>41</v>
      </c>
      <c r="L160" s="1">
        <v>1</v>
      </c>
      <c r="M160" s="1">
        <v>1</v>
      </c>
      <c r="N160" s="1">
        <f t="shared" si="11"/>
        <v>1</v>
      </c>
      <c r="O160" s="1">
        <v>12</v>
      </c>
      <c r="P160" s="1">
        <v>6</v>
      </c>
    </row>
    <row r="161" spans="1:16" x14ac:dyDescent="0.25">
      <c r="A161" s="1" t="s">
        <v>77</v>
      </c>
      <c r="B161" s="1" t="s">
        <v>152</v>
      </c>
      <c r="C161" s="1" t="s">
        <v>139</v>
      </c>
      <c r="D161" s="1" t="s">
        <v>63</v>
      </c>
      <c r="E161" s="1">
        <v>3</v>
      </c>
      <c r="F161" s="1" t="str">
        <f t="shared" si="13"/>
        <v>tross-DO-3</v>
      </c>
      <c r="G161" s="2">
        <v>44498</v>
      </c>
      <c r="H161" s="3">
        <v>56</v>
      </c>
      <c r="I161" s="3">
        <v>25</v>
      </c>
      <c r="J161" s="3">
        <v>18</v>
      </c>
      <c r="K161" s="3">
        <f t="shared" si="10"/>
        <v>34</v>
      </c>
      <c r="L161" s="1">
        <v>1</v>
      </c>
      <c r="M161" s="1">
        <v>1</v>
      </c>
      <c r="N161" s="1">
        <f t="shared" si="11"/>
        <v>1</v>
      </c>
      <c r="O161" s="1">
        <v>10</v>
      </c>
      <c r="P161" s="1">
        <v>18</v>
      </c>
    </row>
    <row r="162" spans="1:16" x14ac:dyDescent="0.25">
      <c r="A162" s="1" t="s">
        <v>78</v>
      </c>
      <c r="B162" s="1" t="s">
        <v>152</v>
      </c>
      <c r="C162" s="1" t="s">
        <v>139</v>
      </c>
      <c r="D162" s="1" t="s">
        <v>63</v>
      </c>
      <c r="E162" s="1">
        <v>3</v>
      </c>
      <c r="F162" s="1" t="str">
        <f t="shared" si="13"/>
        <v>tross-DO-3</v>
      </c>
      <c r="G162" s="2">
        <v>44498</v>
      </c>
      <c r="H162" s="3">
        <v>65</v>
      </c>
      <c r="I162" s="3">
        <v>28</v>
      </c>
      <c r="J162" s="3">
        <v>21</v>
      </c>
      <c r="K162" s="3">
        <f t="shared" ref="K162:K193" si="14">ROUND((4/3)*(H162/10)*(I162/10)*(J162/10),0)</f>
        <v>51</v>
      </c>
      <c r="L162" s="1">
        <v>1</v>
      </c>
      <c r="M162" s="1">
        <v>1</v>
      </c>
      <c r="N162" s="1">
        <f t="shared" ref="N162:N193" si="15">IF(L162+M162=2,1,0)</f>
        <v>1</v>
      </c>
      <c r="O162" s="1">
        <v>23</v>
      </c>
      <c r="P162" s="1">
        <v>6</v>
      </c>
    </row>
    <row r="163" spans="1:16" x14ac:dyDescent="0.25">
      <c r="A163" s="1" t="s">
        <v>79</v>
      </c>
      <c r="B163" s="1" t="s">
        <v>151</v>
      </c>
      <c r="C163" s="1" t="s">
        <v>139</v>
      </c>
      <c r="D163" s="1" t="s">
        <v>31</v>
      </c>
      <c r="E163" s="1">
        <v>3</v>
      </c>
      <c r="F163" s="1" t="str">
        <f t="shared" si="13"/>
        <v>gallo-OA-3</v>
      </c>
      <c r="G163" s="2">
        <v>44498</v>
      </c>
      <c r="H163" s="3">
        <v>59</v>
      </c>
      <c r="I163" s="3">
        <v>32</v>
      </c>
      <c r="J163" s="3">
        <v>20</v>
      </c>
      <c r="K163" s="3">
        <f t="shared" si="14"/>
        <v>50</v>
      </c>
      <c r="L163" s="1">
        <v>1</v>
      </c>
      <c r="M163" s="1">
        <v>1</v>
      </c>
      <c r="N163" s="1">
        <f t="shared" si="15"/>
        <v>1</v>
      </c>
      <c r="O163" s="1">
        <v>7</v>
      </c>
      <c r="P163" s="1">
        <v>15</v>
      </c>
    </row>
    <row r="164" spans="1:16" x14ac:dyDescent="0.25">
      <c r="A164" s="1" t="s">
        <v>80</v>
      </c>
      <c r="B164" s="1" t="s">
        <v>151</v>
      </c>
      <c r="C164" s="1" t="s">
        <v>139</v>
      </c>
      <c r="D164" s="1" t="s">
        <v>31</v>
      </c>
      <c r="E164" s="1">
        <v>3</v>
      </c>
      <c r="F164" s="1" t="str">
        <f t="shared" si="13"/>
        <v>gallo-OA-3</v>
      </c>
      <c r="G164" s="2">
        <v>44498</v>
      </c>
      <c r="H164" s="3">
        <v>59</v>
      </c>
      <c r="I164" s="3">
        <v>37</v>
      </c>
      <c r="J164" s="3">
        <v>22</v>
      </c>
      <c r="K164" s="3">
        <f t="shared" si="14"/>
        <v>64</v>
      </c>
      <c r="L164" s="1">
        <v>1</v>
      </c>
      <c r="M164" s="1">
        <v>1</v>
      </c>
      <c r="N164" s="1">
        <f t="shared" si="15"/>
        <v>1</v>
      </c>
      <c r="O164" s="1">
        <v>8</v>
      </c>
      <c r="P164" s="1">
        <v>25</v>
      </c>
    </row>
    <row r="165" spans="1:16" x14ac:dyDescent="0.25">
      <c r="A165" s="1" t="s">
        <v>81</v>
      </c>
      <c r="B165" s="1" t="s">
        <v>151</v>
      </c>
      <c r="C165" s="1" t="s">
        <v>139</v>
      </c>
      <c r="D165" s="1" t="s">
        <v>31</v>
      </c>
      <c r="E165" s="1">
        <v>3</v>
      </c>
      <c r="F165" s="1" t="str">
        <f t="shared" si="13"/>
        <v>gallo-OA-3</v>
      </c>
      <c r="G165" s="2">
        <v>44498</v>
      </c>
      <c r="H165" s="3">
        <v>70</v>
      </c>
      <c r="I165" s="3">
        <v>39</v>
      </c>
      <c r="J165" s="3">
        <v>26</v>
      </c>
      <c r="K165" s="3">
        <f t="shared" si="14"/>
        <v>95</v>
      </c>
      <c r="L165" s="1">
        <v>1</v>
      </c>
      <c r="M165" s="1">
        <v>1</v>
      </c>
      <c r="N165" s="1">
        <f t="shared" si="15"/>
        <v>1</v>
      </c>
      <c r="O165" s="1">
        <v>15</v>
      </c>
      <c r="P165" s="1">
        <v>14</v>
      </c>
    </row>
    <row r="166" spans="1:16" x14ac:dyDescent="0.25">
      <c r="A166" s="1" t="s">
        <v>82</v>
      </c>
      <c r="B166" s="1" t="s">
        <v>151</v>
      </c>
      <c r="C166" s="1" t="s">
        <v>139</v>
      </c>
      <c r="D166" s="1" t="s">
        <v>31</v>
      </c>
      <c r="E166" s="1">
        <v>3</v>
      </c>
      <c r="F166" s="1" t="str">
        <f t="shared" si="13"/>
        <v>gallo-OA-3</v>
      </c>
      <c r="G166" s="2">
        <v>44498</v>
      </c>
      <c r="H166" s="3">
        <v>66</v>
      </c>
      <c r="I166" s="3">
        <v>36</v>
      </c>
      <c r="J166" s="3">
        <v>24</v>
      </c>
      <c r="K166" s="3">
        <f t="shared" si="14"/>
        <v>76</v>
      </c>
      <c r="L166" s="1">
        <v>1</v>
      </c>
      <c r="M166" s="1">
        <v>1</v>
      </c>
      <c r="N166" s="1">
        <f t="shared" si="15"/>
        <v>1</v>
      </c>
      <c r="O166" s="1">
        <v>12</v>
      </c>
      <c r="P166" s="1">
        <v>10</v>
      </c>
    </row>
    <row r="167" spans="1:16" x14ac:dyDescent="0.25">
      <c r="A167" s="1" t="s">
        <v>83</v>
      </c>
      <c r="B167" s="1" t="s">
        <v>151</v>
      </c>
      <c r="C167" s="1" t="s">
        <v>139</v>
      </c>
      <c r="D167" s="1" t="s">
        <v>31</v>
      </c>
      <c r="E167" s="1">
        <v>3</v>
      </c>
      <c r="F167" s="1" t="str">
        <f t="shared" si="13"/>
        <v>gallo-OA-3</v>
      </c>
      <c r="G167" s="2">
        <v>44498</v>
      </c>
      <c r="H167" s="3">
        <v>70</v>
      </c>
      <c r="I167" s="3">
        <v>40</v>
      </c>
      <c r="J167" s="3">
        <v>25</v>
      </c>
      <c r="K167" s="3">
        <f t="shared" si="14"/>
        <v>93</v>
      </c>
      <c r="L167" s="1">
        <v>1</v>
      </c>
      <c r="M167" s="1">
        <v>1</v>
      </c>
      <c r="N167" s="1">
        <f t="shared" si="15"/>
        <v>1</v>
      </c>
      <c r="O167" s="1">
        <v>14</v>
      </c>
      <c r="P167" s="1">
        <v>26</v>
      </c>
    </row>
    <row r="168" spans="1:16" x14ac:dyDescent="0.25">
      <c r="A168" s="1" t="s">
        <v>84</v>
      </c>
      <c r="B168" s="1" t="s">
        <v>151</v>
      </c>
      <c r="C168" s="1" t="s">
        <v>139</v>
      </c>
      <c r="D168" s="1" t="s">
        <v>31</v>
      </c>
      <c r="E168" s="1">
        <v>3</v>
      </c>
      <c r="F168" s="1" t="str">
        <f t="shared" si="13"/>
        <v>gallo-OA-3</v>
      </c>
      <c r="G168" s="2">
        <v>44498</v>
      </c>
      <c r="H168" s="3">
        <v>76</v>
      </c>
      <c r="I168" s="3">
        <v>40</v>
      </c>
      <c r="J168" s="3">
        <v>27</v>
      </c>
      <c r="K168" s="3">
        <f t="shared" si="14"/>
        <v>109</v>
      </c>
      <c r="L168" s="1">
        <v>1</v>
      </c>
      <c r="M168" s="1">
        <v>1</v>
      </c>
      <c r="N168" s="1">
        <f t="shared" si="15"/>
        <v>1</v>
      </c>
      <c r="O168" s="1">
        <v>8</v>
      </c>
      <c r="P168" s="1">
        <v>15</v>
      </c>
    </row>
    <row r="169" spans="1:16" x14ac:dyDescent="0.25">
      <c r="A169" s="1" t="s">
        <v>32</v>
      </c>
      <c r="B169" s="1" t="s">
        <v>152</v>
      </c>
      <c r="C169" s="1" t="s">
        <v>139</v>
      </c>
      <c r="D169" s="1" t="s">
        <v>31</v>
      </c>
      <c r="E169" s="1">
        <v>3</v>
      </c>
      <c r="F169" s="1" t="str">
        <f t="shared" si="13"/>
        <v>tross-OA-3</v>
      </c>
      <c r="G169" s="2">
        <v>44498</v>
      </c>
      <c r="H169" s="3">
        <v>62</v>
      </c>
      <c r="I169" s="3">
        <v>28</v>
      </c>
      <c r="J169" s="3">
        <v>19</v>
      </c>
      <c r="K169" s="3">
        <f t="shared" si="14"/>
        <v>44</v>
      </c>
      <c r="L169" s="1">
        <v>1</v>
      </c>
      <c r="M169" s="1">
        <v>1</v>
      </c>
      <c r="N169" s="1">
        <f t="shared" si="15"/>
        <v>1</v>
      </c>
      <c r="O169" s="1">
        <v>9</v>
      </c>
      <c r="P169" s="1">
        <v>8</v>
      </c>
    </row>
    <row r="170" spans="1:16" x14ac:dyDescent="0.25">
      <c r="A170" s="1" t="s">
        <v>33</v>
      </c>
      <c r="B170" s="1" t="s">
        <v>152</v>
      </c>
      <c r="C170" s="1" t="s">
        <v>139</v>
      </c>
      <c r="D170" s="1" t="s">
        <v>31</v>
      </c>
      <c r="E170" s="1">
        <v>3</v>
      </c>
      <c r="F170" s="1" t="str">
        <f t="shared" si="13"/>
        <v>tross-OA-3</v>
      </c>
      <c r="G170" s="2">
        <v>44498</v>
      </c>
      <c r="H170" s="3">
        <v>60</v>
      </c>
      <c r="I170" s="3">
        <v>27</v>
      </c>
      <c r="J170" s="3">
        <v>19</v>
      </c>
      <c r="K170" s="3">
        <f t="shared" si="14"/>
        <v>41</v>
      </c>
      <c r="L170" s="1">
        <v>1</v>
      </c>
      <c r="M170" s="1">
        <v>1</v>
      </c>
      <c r="N170" s="1">
        <f t="shared" si="15"/>
        <v>1</v>
      </c>
      <c r="O170" s="1">
        <v>10</v>
      </c>
      <c r="P170" s="1">
        <v>12</v>
      </c>
    </row>
    <row r="171" spans="1:16" x14ac:dyDescent="0.25">
      <c r="A171" s="1" t="s">
        <v>34</v>
      </c>
      <c r="B171" s="1" t="s">
        <v>152</v>
      </c>
      <c r="C171" s="1" t="s">
        <v>139</v>
      </c>
      <c r="D171" s="1" t="s">
        <v>31</v>
      </c>
      <c r="E171" s="1">
        <v>3</v>
      </c>
      <c r="F171" s="1" t="str">
        <f t="shared" si="13"/>
        <v>tross-OA-3</v>
      </c>
      <c r="G171" s="2">
        <v>44498</v>
      </c>
      <c r="H171" s="3">
        <v>60</v>
      </c>
      <c r="I171" s="3">
        <v>26</v>
      </c>
      <c r="J171" s="3">
        <v>19</v>
      </c>
      <c r="K171" s="3">
        <f t="shared" si="14"/>
        <v>40</v>
      </c>
      <c r="L171" s="1">
        <v>1</v>
      </c>
      <c r="M171" s="1">
        <v>1</v>
      </c>
      <c r="N171" s="1">
        <f t="shared" si="15"/>
        <v>1</v>
      </c>
      <c r="O171" s="1">
        <v>8</v>
      </c>
      <c r="P171" s="1">
        <v>26</v>
      </c>
    </row>
    <row r="172" spans="1:16" x14ac:dyDescent="0.25">
      <c r="A172" s="1" t="s">
        <v>35</v>
      </c>
      <c r="B172" s="1" t="s">
        <v>152</v>
      </c>
      <c r="C172" s="1" t="s">
        <v>139</v>
      </c>
      <c r="D172" s="1" t="s">
        <v>31</v>
      </c>
      <c r="E172" s="1">
        <v>3</v>
      </c>
      <c r="F172" s="1" t="str">
        <f t="shared" si="13"/>
        <v>tross-OA-3</v>
      </c>
      <c r="G172" s="2">
        <v>44498</v>
      </c>
      <c r="H172" s="3">
        <v>57</v>
      </c>
      <c r="I172" s="3">
        <v>26</v>
      </c>
      <c r="J172" s="3">
        <v>20</v>
      </c>
      <c r="K172" s="3">
        <f t="shared" si="14"/>
        <v>40</v>
      </c>
      <c r="L172" s="1">
        <v>1</v>
      </c>
      <c r="M172" s="1">
        <v>1</v>
      </c>
      <c r="N172" s="1">
        <f t="shared" si="15"/>
        <v>1</v>
      </c>
      <c r="O172" s="1">
        <v>13</v>
      </c>
      <c r="P172" s="1">
        <v>19</v>
      </c>
    </row>
    <row r="173" spans="1:16" x14ac:dyDescent="0.25">
      <c r="A173" s="1" t="s">
        <v>37</v>
      </c>
      <c r="B173" s="1" t="s">
        <v>152</v>
      </c>
      <c r="C173" s="1" t="s">
        <v>139</v>
      </c>
      <c r="D173" s="1" t="s">
        <v>31</v>
      </c>
      <c r="E173" s="1">
        <v>3</v>
      </c>
      <c r="F173" s="1" t="str">
        <f t="shared" si="13"/>
        <v>tross-OA-3</v>
      </c>
      <c r="G173" s="2">
        <v>44498</v>
      </c>
      <c r="H173" s="3">
        <v>62</v>
      </c>
      <c r="I173" s="3">
        <v>26</v>
      </c>
      <c r="J173" s="3">
        <v>19</v>
      </c>
      <c r="K173" s="3">
        <f t="shared" si="14"/>
        <v>41</v>
      </c>
      <c r="L173" s="1">
        <v>1</v>
      </c>
      <c r="M173" s="1">
        <v>1</v>
      </c>
      <c r="N173" s="1">
        <f t="shared" si="15"/>
        <v>1</v>
      </c>
      <c r="O173" s="1">
        <v>7</v>
      </c>
      <c r="P173" s="1">
        <v>7</v>
      </c>
    </row>
    <row r="174" spans="1:16" x14ac:dyDescent="0.25">
      <c r="A174" s="1" t="s">
        <v>39</v>
      </c>
      <c r="B174" s="1" t="s">
        <v>152</v>
      </c>
      <c r="C174" s="1" t="s">
        <v>139</v>
      </c>
      <c r="D174" s="1" t="s">
        <v>31</v>
      </c>
      <c r="E174" s="1">
        <v>3</v>
      </c>
      <c r="F174" s="1" t="str">
        <f t="shared" si="13"/>
        <v>tross-OA-3</v>
      </c>
      <c r="G174" s="2">
        <v>44498</v>
      </c>
      <c r="H174" s="3">
        <v>62</v>
      </c>
      <c r="I174" s="3">
        <v>28</v>
      </c>
      <c r="J174" s="3">
        <v>18</v>
      </c>
      <c r="K174" s="3">
        <f t="shared" si="14"/>
        <v>42</v>
      </c>
      <c r="L174" s="1">
        <v>1</v>
      </c>
      <c r="M174" s="1">
        <v>1</v>
      </c>
      <c r="N174" s="1">
        <f t="shared" si="15"/>
        <v>1</v>
      </c>
      <c r="O174" s="1">
        <v>15</v>
      </c>
      <c r="P174" s="1">
        <v>9</v>
      </c>
    </row>
    <row r="175" spans="1:16" x14ac:dyDescent="0.25">
      <c r="A175" s="1" t="s">
        <v>41</v>
      </c>
      <c r="B175" s="1" t="s">
        <v>152</v>
      </c>
      <c r="C175" s="1" t="s">
        <v>139</v>
      </c>
      <c r="D175" s="1" t="s">
        <v>31</v>
      </c>
      <c r="E175" s="1">
        <v>3</v>
      </c>
      <c r="F175" s="1" t="str">
        <f t="shared" si="13"/>
        <v>tross-OA-3</v>
      </c>
      <c r="G175" s="2">
        <v>44498</v>
      </c>
      <c r="H175" s="3">
        <v>61</v>
      </c>
      <c r="I175" s="3">
        <v>27</v>
      </c>
      <c r="J175" s="3">
        <v>20</v>
      </c>
      <c r="K175" s="3">
        <f t="shared" si="14"/>
        <v>44</v>
      </c>
      <c r="L175" s="1">
        <v>1</v>
      </c>
      <c r="M175" s="1">
        <v>1</v>
      </c>
      <c r="N175" s="1">
        <f t="shared" si="15"/>
        <v>1</v>
      </c>
      <c r="O175" s="1">
        <v>6</v>
      </c>
      <c r="P175" s="1">
        <v>14</v>
      </c>
    </row>
    <row r="176" spans="1:16" x14ac:dyDescent="0.25">
      <c r="A176" s="1" t="s">
        <v>43</v>
      </c>
      <c r="B176" s="1" t="s">
        <v>152</v>
      </c>
      <c r="C176" s="1" t="s">
        <v>139</v>
      </c>
      <c r="D176" s="1" t="s">
        <v>31</v>
      </c>
      <c r="E176" s="1">
        <v>3</v>
      </c>
      <c r="F176" s="1" t="str">
        <f t="shared" si="13"/>
        <v>tross-OA-3</v>
      </c>
      <c r="G176" s="2">
        <v>44498</v>
      </c>
      <c r="H176" s="3">
        <v>60</v>
      </c>
      <c r="I176" s="3">
        <v>26</v>
      </c>
      <c r="J176" s="3">
        <v>18</v>
      </c>
      <c r="K176" s="3">
        <f t="shared" si="14"/>
        <v>37</v>
      </c>
      <c r="L176" s="1">
        <v>1</v>
      </c>
      <c r="M176" s="1">
        <v>1</v>
      </c>
      <c r="N176" s="1">
        <f t="shared" si="15"/>
        <v>1</v>
      </c>
      <c r="O176" s="1">
        <v>19</v>
      </c>
      <c r="P176" s="1">
        <v>15</v>
      </c>
    </row>
    <row r="177" spans="1:16" x14ac:dyDescent="0.25">
      <c r="A177" s="1" t="s">
        <v>44</v>
      </c>
      <c r="B177" s="1" t="s">
        <v>152</v>
      </c>
      <c r="C177" s="1" t="s">
        <v>139</v>
      </c>
      <c r="D177" s="1" t="s">
        <v>31</v>
      </c>
      <c r="E177" s="1">
        <v>3</v>
      </c>
      <c r="F177" s="1" t="str">
        <f t="shared" si="13"/>
        <v>tross-OA-3</v>
      </c>
      <c r="G177" s="2">
        <v>44498</v>
      </c>
      <c r="H177" s="3">
        <v>59</v>
      </c>
      <c r="I177" s="3">
        <v>27</v>
      </c>
      <c r="J177" s="3">
        <v>20</v>
      </c>
      <c r="K177" s="3">
        <f t="shared" si="14"/>
        <v>42</v>
      </c>
      <c r="L177" s="1">
        <v>1</v>
      </c>
      <c r="M177" s="1">
        <v>1</v>
      </c>
      <c r="N177" s="1">
        <f t="shared" si="15"/>
        <v>1</v>
      </c>
      <c r="O177" s="1">
        <v>15</v>
      </c>
      <c r="P177" s="1">
        <v>15</v>
      </c>
    </row>
    <row r="178" spans="1:16" x14ac:dyDescent="0.25">
      <c r="A178" s="1" t="s">
        <v>45</v>
      </c>
      <c r="B178" s="1" t="s">
        <v>152</v>
      </c>
      <c r="C178" s="1" t="s">
        <v>139</v>
      </c>
      <c r="D178" s="1" t="s">
        <v>31</v>
      </c>
      <c r="E178" s="1">
        <v>3</v>
      </c>
      <c r="F178" s="1" t="str">
        <f t="shared" si="13"/>
        <v>tross-OA-3</v>
      </c>
      <c r="G178" s="2">
        <v>44498</v>
      </c>
      <c r="H178" s="3">
        <v>58</v>
      </c>
      <c r="I178" s="3">
        <v>25</v>
      </c>
      <c r="J178" s="3">
        <v>20</v>
      </c>
      <c r="K178" s="3">
        <f t="shared" si="14"/>
        <v>39</v>
      </c>
      <c r="L178" s="1">
        <v>1</v>
      </c>
      <c r="M178" s="1">
        <v>1</v>
      </c>
      <c r="N178" s="1">
        <f t="shared" si="15"/>
        <v>1</v>
      </c>
      <c r="O178" s="1">
        <v>12</v>
      </c>
      <c r="P178" s="1">
        <v>30</v>
      </c>
    </row>
    <row r="179" spans="1:16" x14ac:dyDescent="0.25">
      <c r="A179" s="1" t="s">
        <v>87</v>
      </c>
      <c r="B179" s="1" t="s">
        <v>151</v>
      </c>
      <c r="C179" s="1" t="s">
        <v>139</v>
      </c>
      <c r="D179" s="1" t="s">
        <v>47</v>
      </c>
      <c r="E179" s="1">
        <v>3</v>
      </c>
      <c r="F179" s="1" t="str">
        <f t="shared" si="13"/>
        <v>gallo-OW-3</v>
      </c>
      <c r="G179" s="2">
        <v>44498</v>
      </c>
      <c r="H179" s="3">
        <v>64</v>
      </c>
      <c r="I179" s="3">
        <v>35</v>
      </c>
      <c r="J179" s="3">
        <v>23</v>
      </c>
      <c r="K179" s="3">
        <f t="shared" si="14"/>
        <v>69</v>
      </c>
      <c r="L179" s="1">
        <v>1</v>
      </c>
      <c r="M179" s="1">
        <v>1</v>
      </c>
      <c r="N179" s="1">
        <f t="shared" si="15"/>
        <v>1</v>
      </c>
      <c r="O179" s="1">
        <v>20</v>
      </c>
      <c r="P179" s="1">
        <v>7</v>
      </c>
    </row>
    <row r="180" spans="1:16" x14ac:dyDescent="0.25">
      <c r="A180" s="1" t="s">
        <v>90</v>
      </c>
      <c r="B180" s="1" t="s">
        <v>151</v>
      </c>
      <c r="C180" s="1" t="s">
        <v>139</v>
      </c>
      <c r="D180" s="1" t="s">
        <v>47</v>
      </c>
      <c r="E180" s="1">
        <v>3</v>
      </c>
      <c r="F180" s="1" t="str">
        <f t="shared" si="13"/>
        <v>gallo-OW-3</v>
      </c>
      <c r="G180" s="2">
        <v>44498</v>
      </c>
      <c r="H180" s="3">
        <v>56</v>
      </c>
      <c r="I180" s="3">
        <v>30</v>
      </c>
      <c r="J180" s="3">
        <v>24</v>
      </c>
      <c r="K180" s="3">
        <f t="shared" si="14"/>
        <v>54</v>
      </c>
      <c r="L180" s="1">
        <v>1</v>
      </c>
      <c r="M180" s="1">
        <v>1</v>
      </c>
      <c r="N180" s="1">
        <f t="shared" si="15"/>
        <v>1</v>
      </c>
      <c r="O180" s="1">
        <v>16</v>
      </c>
      <c r="P180" s="1">
        <v>11</v>
      </c>
    </row>
    <row r="181" spans="1:16" x14ac:dyDescent="0.25">
      <c r="A181" s="1" t="s">
        <v>91</v>
      </c>
      <c r="B181" s="1" t="s">
        <v>151</v>
      </c>
      <c r="C181" s="1" t="s">
        <v>139</v>
      </c>
      <c r="D181" s="1" t="s">
        <v>47</v>
      </c>
      <c r="E181" s="1">
        <v>3</v>
      </c>
      <c r="F181" s="1" t="str">
        <f t="shared" si="13"/>
        <v>gallo-OW-3</v>
      </c>
      <c r="G181" s="2">
        <v>44498</v>
      </c>
      <c r="H181" s="3">
        <v>78</v>
      </c>
      <c r="I181" s="3">
        <v>41</v>
      </c>
      <c r="J181" s="3">
        <v>29</v>
      </c>
      <c r="K181" s="3">
        <f t="shared" si="14"/>
        <v>124</v>
      </c>
      <c r="L181" s="1">
        <v>1</v>
      </c>
      <c r="M181" s="1">
        <v>1</v>
      </c>
      <c r="N181" s="1">
        <f t="shared" si="15"/>
        <v>1</v>
      </c>
      <c r="O181" s="1">
        <v>8</v>
      </c>
      <c r="P181" s="1">
        <v>8</v>
      </c>
    </row>
    <row r="182" spans="1:16" x14ac:dyDescent="0.25">
      <c r="A182" s="1" t="s">
        <v>92</v>
      </c>
      <c r="B182" s="1" t="s">
        <v>151</v>
      </c>
      <c r="C182" s="1" t="s">
        <v>139</v>
      </c>
      <c r="D182" s="1" t="s">
        <v>47</v>
      </c>
      <c r="E182" s="1">
        <v>3</v>
      </c>
      <c r="F182" s="1" t="str">
        <f t="shared" si="13"/>
        <v>gallo-OW-3</v>
      </c>
      <c r="G182" s="2">
        <v>44498</v>
      </c>
      <c r="H182" s="3">
        <v>59</v>
      </c>
      <c r="I182" s="3">
        <v>33</v>
      </c>
      <c r="J182" s="3">
        <v>21</v>
      </c>
      <c r="K182" s="3">
        <f t="shared" si="14"/>
        <v>55</v>
      </c>
      <c r="L182" s="1">
        <v>1</v>
      </c>
      <c r="M182" s="1">
        <v>1</v>
      </c>
      <c r="N182" s="1">
        <f t="shared" si="15"/>
        <v>1</v>
      </c>
      <c r="O182" s="1">
        <v>11</v>
      </c>
      <c r="P182" s="1">
        <v>9</v>
      </c>
    </row>
    <row r="183" spans="1:16" x14ac:dyDescent="0.25">
      <c r="A183" s="1" t="s">
        <v>48</v>
      </c>
      <c r="B183" s="1" t="s">
        <v>152</v>
      </c>
      <c r="C183" s="1" t="s">
        <v>139</v>
      </c>
      <c r="D183" s="1" t="s">
        <v>47</v>
      </c>
      <c r="E183" s="1">
        <v>3</v>
      </c>
      <c r="F183" s="1" t="str">
        <f t="shared" si="13"/>
        <v>tross-OW-3</v>
      </c>
      <c r="G183" s="2">
        <v>44498</v>
      </c>
      <c r="H183" s="3">
        <v>62</v>
      </c>
      <c r="I183" s="3">
        <v>28</v>
      </c>
      <c r="J183" s="3">
        <v>29</v>
      </c>
      <c r="K183" s="3">
        <f t="shared" si="14"/>
        <v>67</v>
      </c>
      <c r="L183" s="1">
        <v>1</v>
      </c>
      <c r="M183" s="1">
        <v>1</v>
      </c>
      <c r="N183" s="1">
        <f t="shared" si="15"/>
        <v>1</v>
      </c>
      <c r="O183" s="1">
        <v>7</v>
      </c>
      <c r="P183" s="1">
        <v>5</v>
      </c>
    </row>
    <row r="184" spans="1:16" x14ac:dyDescent="0.25">
      <c r="A184" s="1" t="s">
        <v>49</v>
      </c>
      <c r="B184" s="1" t="s">
        <v>152</v>
      </c>
      <c r="C184" s="1" t="s">
        <v>139</v>
      </c>
      <c r="D184" s="1" t="s">
        <v>47</v>
      </c>
      <c r="E184" s="1">
        <v>3</v>
      </c>
      <c r="F184" s="1" t="str">
        <f t="shared" si="13"/>
        <v>tross-OW-3</v>
      </c>
      <c r="G184" s="2">
        <v>44498</v>
      </c>
      <c r="H184" s="3">
        <v>61</v>
      </c>
      <c r="I184" s="3">
        <v>26</v>
      </c>
      <c r="J184" s="3">
        <v>19</v>
      </c>
      <c r="K184" s="3">
        <f t="shared" si="14"/>
        <v>40</v>
      </c>
      <c r="L184" s="1">
        <v>1</v>
      </c>
      <c r="M184" s="1">
        <v>1</v>
      </c>
      <c r="N184" s="1">
        <f t="shared" si="15"/>
        <v>1</v>
      </c>
      <c r="O184" s="1">
        <v>20</v>
      </c>
      <c r="P184" s="1">
        <v>5</v>
      </c>
    </row>
    <row r="185" spans="1:16" x14ac:dyDescent="0.25">
      <c r="A185" s="1" t="s">
        <v>50</v>
      </c>
      <c r="B185" s="1" t="s">
        <v>152</v>
      </c>
      <c r="C185" s="1" t="s">
        <v>139</v>
      </c>
      <c r="D185" s="1" t="s">
        <v>47</v>
      </c>
      <c r="E185" s="1">
        <v>3</v>
      </c>
      <c r="F185" s="1" t="str">
        <f t="shared" si="13"/>
        <v>tross-OW-3</v>
      </c>
      <c r="G185" s="2">
        <v>44498</v>
      </c>
      <c r="H185" s="3">
        <v>59</v>
      </c>
      <c r="I185" s="3">
        <v>28</v>
      </c>
      <c r="J185" s="3">
        <v>19</v>
      </c>
      <c r="K185" s="3">
        <f t="shared" si="14"/>
        <v>42</v>
      </c>
      <c r="L185" s="1">
        <v>1</v>
      </c>
      <c r="M185" s="1">
        <v>1</v>
      </c>
      <c r="N185" s="1">
        <f t="shared" si="15"/>
        <v>1</v>
      </c>
      <c r="O185" s="1">
        <v>21</v>
      </c>
      <c r="P185" s="1">
        <v>15</v>
      </c>
    </row>
    <row r="186" spans="1:16" x14ac:dyDescent="0.25">
      <c r="A186" s="1" t="s">
        <v>52</v>
      </c>
      <c r="B186" s="1" t="s">
        <v>152</v>
      </c>
      <c r="C186" s="1" t="s">
        <v>139</v>
      </c>
      <c r="D186" s="1" t="s">
        <v>47</v>
      </c>
      <c r="E186" s="1">
        <v>3</v>
      </c>
      <c r="F186" s="1" t="str">
        <f t="shared" si="13"/>
        <v>tross-OW-3</v>
      </c>
      <c r="G186" s="2">
        <v>44498</v>
      </c>
      <c r="H186" s="3">
        <v>57</v>
      </c>
      <c r="I186" s="3">
        <v>26</v>
      </c>
      <c r="J186" s="3">
        <v>20</v>
      </c>
      <c r="K186" s="3">
        <f t="shared" si="14"/>
        <v>40</v>
      </c>
      <c r="L186" s="1">
        <v>1</v>
      </c>
      <c r="M186" s="1">
        <v>1</v>
      </c>
      <c r="N186" s="1">
        <f t="shared" si="15"/>
        <v>1</v>
      </c>
      <c r="O186" s="1">
        <v>9</v>
      </c>
      <c r="P186" s="1">
        <v>12</v>
      </c>
    </row>
    <row r="187" spans="1:16" x14ac:dyDescent="0.25">
      <c r="A187" s="1" t="s">
        <v>53</v>
      </c>
      <c r="B187" s="1" t="s">
        <v>152</v>
      </c>
      <c r="C187" s="1" t="s">
        <v>139</v>
      </c>
      <c r="D187" s="1" t="s">
        <v>47</v>
      </c>
      <c r="E187" s="1">
        <v>3</v>
      </c>
      <c r="F187" s="1" t="str">
        <f t="shared" si="13"/>
        <v>tross-OW-3</v>
      </c>
      <c r="G187" s="2">
        <v>44498</v>
      </c>
      <c r="H187" s="3">
        <v>62</v>
      </c>
      <c r="I187" s="3">
        <v>28</v>
      </c>
      <c r="J187" s="3">
        <v>20</v>
      </c>
      <c r="K187" s="3">
        <f t="shared" si="14"/>
        <v>46</v>
      </c>
      <c r="L187" s="1">
        <v>1</v>
      </c>
      <c r="M187" s="1">
        <v>1</v>
      </c>
      <c r="N187" s="1">
        <f t="shared" si="15"/>
        <v>1</v>
      </c>
      <c r="O187" s="1">
        <v>7</v>
      </c>
      <c r="P187" s="1">
        <v>13</v>
      </c>
    </row>
    <row r="188" spans="1:16" x14ac:dyDescent="0.25">
      <c r="A188" s="1" t="s">
        <v>54</v>
      </c>
      <c r="B188" s="1" t="s">
        <v>152</v>
      </c>
      <c r="C188" s="1" t="s">
        <v>139</v>
      </c>
      <c r="D188" s="1" t="s">
        <v>47</v>
      </c>
      <c r="E188" s="1">
        <v>3</v>
      </c>
      <c r="F188" s="1" t="str">
        <f t="shared" si="13"/>
        <v>tross-OW-3</v>
      </c>
      <c r="G188" s="2">
        <v>44498</v>
      </c>
      <c r="H188" s="3">
        <v>65</v>
      </c>
      <c r="I188" s="3">
        <v>30</v>
      </c>
      <c r="J188" s="3">
        <v>19</v>
      </c>
      <c r="K188" s="3">
        <f t="shared" si="14"/>
        <v>49</v>
      </c>
      <c r="L188" s="1">
        <v>1</v>
      </c>
      <c r="M188" s="1">
        <v>1</v>
      </c>
      <c r="N188" s="1">
        <f t="shared" si="15"/>
        <v>1</v>
      </c>
      <c r="O188" s="1">
        <v>23</v>
      </c>
      <c r="P188" s="1">
        <v>13</v>
      </c>
    </row>
    <row r="189" spans="1:16" x14ac:dyDescent="0.25">
      <c r="A189" s="1" t="s">
        <v>55</v>
      </c>
      <c r="B189" s="1" t="s">
        <v>152</v>
      </c>
      <c r="C189" s="1" t="s">
        <v>139</v>
      </c>
      <c r="D189" s="1" t="s">
        <v>47</v>
      </c>
      <c r="E189" s="1">
        <v>3</v>
      </c>
      <c r="F189" s="1" t="str">
        <f t="shared" si="13"/>
        <v>tross-OW-3</v>
      </c>
      <c r="G189" s="2">
        <v>44498</v>
      </c>
      <c r="H189" s="3">
        <v>63</v>
      </c>
      <c r="I189" s="3">
        <v>26</v>
      </c>
      <c r="J189" s="3">
        <v>21</v>
      </c>
      <c r="K189" s="3">
        <f t="shared" si="14"/>
        <v>46</v>
      </c>
      <c r="L189" s="1">
        <v>1</v>
      </c>
      <c r="M189" s="1">
        <v>1</v>
      </c>
      <c r="N189" s="1">
        <f t="shared" si="15"/>
        <v>1</v>
      </c>
      <c r="O189" s="1">
        <v>9</v>
      </c>
      <c r="P189" s="1">
        <v>14</v>
      </c>
    </row>
    <row r="190" spans="1:16" x14ac:dyDescent="0.25">
      <c r="A190" s="1" t="s">
        <v>56</v>
      </c>
      <c r="B190" s="1" t="s">
        <v>152</v>
      </c>
      <c r="C190" s="1" t="s">
        <v>139</v>
      </c>
      <c r="D190" s="1" t="s">
        <v>47</v>
      </c>
      <c r="E190" s="1">
        <v>3</v>
      </c>
      <c r="F190" s="1" t="str">
        <f t="shared" si="13"/>
        <v>tross-OW-3</v>
      </c>
      <c r="G190" s="2">
        <v>44498</v>
      </c>
      <c r="H190" s="3">
        <v>58</v>
      </c>
      <c r="I190" s="3">
        <v>25</v>
      </c>
      <c r="J190" s="3">
        <v>18</v>
      </c>
      <c r="K190" s="3">
        <f t="shared" si="14"/>
        <v>35</v>
      </c>
      <c r="L190" s="1">
        <v>1</v>
      </c>
      <c r="M190" s="1">
        <v>1</v>
      </c>
      <c r="N190" s="1">
        <f t="shared" si="15"/>
        <v>1</v>
      </c>
      <c r="O190" s="1">
        <v>6</v>
      </c>
      <c r="P190" s="1">
        <v>10</v>
      </c>
    </row>
    <row r="191" spans="1:16" x14ac:dyDescent="0.25">
      <c r="A191" s="1" t="s">
        <v>57</v>
      </c>
      <c r="B191" s="1" t="s">
        <v>152</v>
      </c>
      <c r="C191" s="1" t="s">
        <v>139</v>
      </c>
      <c r="D191" s="1" t="s">
        <v>47</v>
      </c>
      <c r="E191" s="1">
        <v>3</v>
      </c>
      <c r="F191" s="1" t="str">
        <f t="shared" si="13"/>
        <v>tross-OW-3</v>
      </c>
      <c r="G191" s="2">
        <v>44498</v>
      </c>
      <c r="H191" s="3">
        <v>52</v>
      </c>
      <c r="I191" s="3">
        <v>23</v>
      </c>
      <c r="J191" s="3">
        <v>17</v>
      </c>
      <c r="K191" s="3">
        <f t="shared" si="14"/>
        <v>27</v>
      </c>
      <c r="L191" s="1">
        <v>1</v>
      </c>
      <c r="M191" s="1">
        <v>1</v>
      </c>
      <c r="N191" s="1">
        <f t="shared" si="15"/>
        <v>1</v>
      </c>
      <c r="O191" s="1">
        <v>4</v>
      </c>
      <c r="P191" s="1">
        <v>12</v>
      </c>
    </row>
    <row r="192" spans="1:16" x14ac:dyDescent="0.25">
      <c r="A192" s="1" t="s">
        <v>58</v>
      </c>
      <c r="B192" s="1" t="s">
        <v>152</v>
      </c>
      <c r="C192" s="1" t="s">
        <v>139</v>
      </c>
      <c r="D192" s="1" t="s">
        <v>47</v>
      </c>
      <c r="E192" s="1">
        <v>3</v>
      </c>
      <c r="F192" s="1" t="str">
        <f t="shared" si="13"/>
        <v>tross-OW-3</v>
      </c>
      <c r="G192" s="2">
        <v>44498</v>
      </c>
      <c r="H192" s="3">
        <v>52</v>
      </c>
      <c r="I192" s="3">
        <v>22</v>
      </c>
      <c r="J192" s="3">
        <v>16</v>
      </c>
      <c r="K192" s="3">
        <f t="shared" si="14"/>
        <v>24</v>
      </c>
      <c r="L192" s="1">
        <v>1</v>
      </c>
      <c r="M192" s="1">
        <v>1</v>
      </c>
      <c r="N192" s="1">
        <f t="shared" si="15"/>
        <v>1</v>
      </c>
      <c r="O192" s="1">
        <v>4</v>
      </c>
      <c r="P192" s="1">
        <v>13</v>
      </c>
    </row>
    <row r="193" spans="1:16" x14ac:dyDescent="0.25">
      <c r="A193" s="1" t="s">
        <v>59</v>
      </c>
      <c r="B193" s="1" t="s">
        <v>152</v>
      </c>
      <c r="C193" s="1" t="s">
        <v>139</v>
      </c>
      <c r="D193" s="1" t="s">
        <v>47</v>
      </c>
      <c r="E193" s="1">
        <v>3</v>
      </c>
      <c r="F193" s="1" t="str">
        <f t="shared" si="13"/>
        <v>tross-OW-3</v>
      </c>
      <c r="G193" s="2">
        <v>44498</v>
      </c>
      <c r="H193" s="3">
        <v>58</v>
      </c>
      <c r="I193" s="3">
        <v>28</v>
      </c>
      <c r="J193" s="3">
        <v>18</v>
      </c>
      <c r="K193" s="3">
        <f t="shared" si="14"/>
        <v>39</v>
      </c>
      <c r="L193" s="1">
        <v>1</v>
      </c>
      <c r="M193" s="1">
        <v>1</v>
      </c>
      <c r="N193" s="1">
        <f t="shared" si="15"/>
        <v>1</v>
      </c>
      <c r="O193" s="1">
        <v>13</v>
      </c>
      <c r="P193" s="1">
        <v>3</v>
      </c>
    </row>
    <row r="194" spans="1:16" x14ac:dyDescent="0.25">
      <c r="A194" s="1" t="s">
        <v>60</v>
      </c>
      <c r="B194" s="1" t="s">
        <v>152</v>
      </c>
      <c r="C194" s="1" t="s">
        <v>139</v>
      </c>
      <c r="D194" s="1" t="s">
        <v>47</v>
      </c>
      <c r="E194" s="1">
        <v>3</v>
      </c>
      <c r="F194" s="1" t="str">
        <f t="shared" si="13"/>
        <v>tross-OW-3</v>
      </c>
      <c r="G194" s="2">
        <v>44498</v>
      </c>
      <c r="H194" s="3">
        <v>68</v>
      </c>
      <c r="I194" s="3">
        <v>30</v>
      </c>
      <c r="J194" s="3">
        <v>22</v>
      </c>
      <c r="K194" s="3">
        <f t="shared" ref="K194:K195" si="16">ROUND((4/3)*(H194/10)*(I194/10)*(J194/10),0)</f>
        <v>60</v>
      </c>
      <c r="L194" s="1">
        <v>1</v>
      </c>
      <c r="M194" s="1">
        <v>1</v>
      </c>
      <c r="N194" s="1">
        <f t="shared" ref="N194:N195" si="17">IF(L194+M194=2,1,0)</f>
        <v>1</v>
      </c>
      <c r="O194" s="1">
        <v>16</v>
      </c>
      <c r="P194" s="1">
        <v>5</v>
      </c>
    </row>
    <row r="195" spans="1:16" x14ac:dyDescent="0.25">
      <c r="A195" s="1" t="s">
        <v>61</v>
      </c>
      <c r="B195" s="1" t="s">
        <v>152</v>
      </c>
      <c r="C195" s="1" t="s">
        <v>139</v>
      </c>
      <c r="D195" s="1" t="s">
        <v>47</v>
      </c>
      <c r="E195" s="1">
        <v>3</v>
      </c>
      <c r="F195" s="1" t="str">
        <f t="shared" si="13"/>
        <v>tross-OW-3</v>
      </c>
      <c r="G195" s="2">
        <v>44498</v>
      </c>
      <c r="H195" s="3">
        <v>56</v>
      </c>
      <c r="I195" s="3">
        <v>25</v>
      </c>
      <c r="J195" s="3">
        <v>19</v>
      </c>
      <c r="K195" s="3">
        <f t="shared" si="16"/>
        <v>35</v>
      </c>
      <c r="L195" s="1">
        <v>1</v>
      </c>
      <c r="M195" s="1">
        <v>1</v>
      </c>
      <c r="N195" s="1">
        <f t="shared" si="17"/>
        <v>1</v>
      </c>
      <c r="O195" s="1">
        <v>10</v>
      </c>
      <c r="P195" s="1">
        <v>16</v>
      </c>
    </row>
  </sheetData>
  <autoFilter ref="A1:Q195" xr:uid="{CF8501E8-434F-48F8-A4DE-F240F67D4FEC}"/>
  <sortState xmlns:xlrd2="http://schemas.microsoft.com/office/spreadsheetml/2017/richdata2" ref="A2:P195">
    <sortCondition ref="N2:N195"/>
    <sortCondition ref="F2:F195"/>
  </sortState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0BF9-56AD-461F-8408-B776CEE69F73}">
  <dimension ref="A1:F138"/>
  <sheetViews>
    <sheetView tabSelected="1" workbookViewId="0">
      <selection activeCell="M10" sqref="M10"/>
    </sheetView>
  </sheetViews>
  <sheetFormatPr defaultRowHeight="15" x14ac:dyDescent="0.25"/>
  <cols>
    <col min="2" max="2" width="11" bestFit="1" customWidth="1"/>
  </cols>
  <sheetData>
    <row r="1" spans="1:6" x14ac:dyDescent="0.25">
      <c r="A1" s="1" t="s">
        <v>174</v>
      </c>
      <c r="B1" s="1" t="s">
        <v>28</v>
      </c>
      <c r="C1" s="1" t="s">
        <v>136</v>
      </c>
      <c r="D1" s="1" t="s">
        <v>150</v>
      </c>
      <c r="E1" s="1" t="s">
        <v>136</v>
      </c>
      <c r="F1" s="3" t="s">
        <v>367</v>
      </c>
    </row>
    <row r="2" spans="1:6" x14ac:dyDescent="0.25">
      <c r="A2" s="1" t="s">
        <v>66</v>
      </c>
      <c r="B2" s="1" t="str">
        <f>VLOOKUP(A2,key!A:F,4,FALSE)</f>
        <v>DO</v>
      </c>
      <c r="C2" s="1">
        <f>VLOOKUP(A2,key!A:F,5,FALSE)</f>
        <v>3</v>
      </c>
      <c r="D2" s="1" t="s">
        <v>152</v>
      </c>
      <c r="E2" s="1">
        <v>3</v>
      </c>
      <c r="F2" s="1" t="s">
        <v>368</v>
      </c>
    </row>
    <row r="3" spans="1:6" x14ac:dyDescent="0.25">
      <c r="A3" s="1" t="s">
        <v>67</v>
      </c>
      <c r="B3" s="1" t="str">
        <f>VLOOKUP(A3,key!A:F,4,FALSE)</f>
        <v>DO</v>
      </c>
      <c r="C3" s="1">
        <f>VLOOKUP(A3,key!A:F,5,FALSE)</f>
        <v>3</v>
      </c>
      <c r="D3" s="1" t="s">
        <v>152</v>
      </c>
      <c r="E3" s="1">
        <v>3</v>
      </c>
      <c r="F3" s="1" t="s">
        <v>368</v>
      </c>
    </row>
    <row r="4" spans="1:6" x14ac:dyDescent="0.25">
      <c r="A4" s="1" t="s">
        <v>69</v>
      </c>
      <c r="B4" s="1" t="str">
        <f>VLOOKUP(A4,key!A:F,4,FALSE)</f>
        <v>DO</v>
      </c>
      <c r="C4" s="1">
        <f>VLOOKUP(A4,key!A:F,5,FALSE)</f>
        <v>3</v>
      </c>
      <c r="D4" s="1" t="s">
        <v>152</v>
      </c>
      <c r="E4" s="1">
        <v>3</v>
      </c>
      <c r="F4" s="1" t="s">
        <v>368</v>
      </c>
    </row>
    <row r="5" spans="1:6" x14ac:dyDescent="0.25">
      <c r="A5" s="1" t="s">
        <v>71</v>
      </c>
      <c r="B5" s="1" t="str">
        <f>VLOOKUP(A5,key!A:F,4,FALSE)</f>
        <v>DO</v>
      </c>
      <c r="C5" s="1">
        <f>VLOOKUP(A5,key!A:F,5,FALSE)</f>
        <v>3</v>
      </c>
      <c r="D5" s="1" t="s">
        <v>152</v>
      </c>
      <c r="E5" s="1">
        <v>3</v>
      </c>
      <c r="F5" s="1" t="s">
        <v>368</v>
      </c>
    </row>
    <row r="6" spans="1:6" x14ac:dyDescent="0.25">
      <c r="A6" s="1" t="s">
        <v>72</v>
      </c>
      <c r="B6" s="1" t="str">
        <f>VLOOKUP(A6,key!A:F,4,FALSE)</f>
        <v>DO</v>
      </c>
      <c r="C6" s="1">
        <f>VLOOKUP(A6,key!A:F,5,FALSE)</f>
        <v>3</v>
      </c>
      <c r="D6" s="1" t="s">
        <v>152</v>
      </c>
      <c r="E6" s="1">
        <v>3</v>
      </c>
      <c r="F6" s="1" t="s">
        <v>368</v>
      </c>
    </row>
    <row r="7" spans="1:6" x14ac:dyDescent="0.25">
      <c r="A7" s="1" t="s">
        <v>75</v>
      </c>
      <c r="B7" s="1" t="str">
        <f>VLOOKUP(A7,key!A:F,4,FALSE)</f>
        <v>DO</v>
      </c>
      <c r="C7" s="1">
        <f>VLOOKUP(A7,key!A:F,5,FALSE)</f>
        <v>3</v>
      </c>
      <c r="D7" s="1" t="s">
        <v>152</v>
      </c>
      <c r="E7" s="1">
        <v>3</v>
      </c>
      <c r="F7" s="1" t="s">
        <v>368</v>
      </c>
    </row>
    <row r="8" spans="1:6" x14ac:dyDescent="0.25">
      <c r="A8" s="1" t="s">
        <v>76</v>
      </c>
      <c r="B8" s="1" t="str">
        <f>VLOOKUP(A8,key!A:F,4,FALSE)</f>
        <v>DO</v>
      </c>
      <c r="C8" s="1">
        <f>VLOOKUP(A8,key!A:F,5,FALSE)</f>
        <v>3</v>
      </c>
      <c r="D8" s="1" t="s">
        <v>152</v>
      </c>
      <c r="E8" s="1">
        <v>3</v>
      </c>
      <c r="F8" s="1" t="s">
        <v>368</v>
      </c>
    </row>
    <row r="9" spans="1:6" x14ac:dyDescent="0.25">
      <c r="A9" s="1" t="s">
        <v>77</v>
      </c>
      <c r="B9" s="1" t="str">
        <f>VLOOKUP(A9,key!A:F,4,FALSE)</f>
        <v>DO</v>
      </c>
      <c r="C9" s="1">
        <f>VLOOKUP(A9,key!A:F,5,FALSE)</f>
        <v>3</v>
      </c>
      <c r="D9" s="1" t="s">
        <v>152</v>
      </c>
      <c r="E9" s="1">
        <v>3</v>
      </c>
      <c r="F9" s="1" t="s">
        <v>368</v>
      </c>
    </row>
    <row r="10" spans="1:6" x14ac:dyDescent="0.25">
      <c r="A10" s="1" t="s">
        <v>78</v>
      </c>
      <c r="B10" s="1" t="str">
        <f>VLOOKUP(A10,key!A:F,4,FALSE)</f>
        <v>DO</v>
      </c>
      <c r="C10" s="1">
        <f>VLOOKUP(A10,key!A:F,5,FALSE)</f>
        <v>3</v>
      </c>
      <c r="D10" s="1" t="s">
        <v>152</v>
      </c>
      <c r="E10" s="1">
        <v>3</v>
      </c>
      <c r="F10" s="1" t="s">
        <v>368</v>
      </c>
    </row>
    <row r="11" spans="1:6" x14ac:dyDescent="0.25">
      <c r="A11" s="1" t="s">
        <v>79</v>
      </c>
      <c r="B11" s="1" t="str">
        <f>VLOOKUP(A11,key!A:F,4,FALSE)</f>
        <v>OA</v>
      </c>
      <c r="C11" s="1">
        <f>VLOOKUP(A11,key!A:F,5,FALSE)</f>
        <v>3</v>
      </c>
      <c r="D11" s="1" t="s">
        <v>151</v>
      </c>
      <c r="E11" s="1">
        <v>3</v>
      </c>
      <c r="F11" s="1" t="s">
        <v>368</v>
      </c>
    </row>
    <row r="12" spans="1:6" x14ac:dyDescent="0.25">
      <c r="A12" s="1" t="s">
        <v>80</v>
      </c>
      <c r="B12" s="1" t="str">
        <f>VLOOKUP(A12,key!A:F,4,FALSE)</f>
        <v>OA</v>
      </c>
      <c r="C12" s="1">
        <f>VLOOKUP(A12,key!A:F,5,FALSE)</f>
        <v>3</v>
      </c>
      <c r="D12" s="1" t="s">
        <v>151</v>
      </c>
      <c r="E12" s="1">
        <v>3</v>
      </c>
      <c r="F12" s="1" t="s">
        <v>368</v>
      </c>
    </row>
    <row r="13" spans="1:6" x14ac:dyDescent="0.25">
      <c r="A13" s="1" t="s">
        <v>81</v>
      </c>
      <c r="B13" s="1" t="str">
        <f>VLOOKUP(A13,key!A:F,4,FALSE)</f>
        <v>OA</v>
      </c>
      <c r="C13" s="1">
        <f>VLOOKUP(A13,key!A:F,5,FALSE)</f>
        <v>3</v>
      </c>
      <c r="D13" s="1" t="s">
        <v>151</v>
      </c>
      <c r="E13" s="1">
        <v>3</v>
      </c>
      <c r="F13" s="1" t="s">
        <v>368</v>
      </c>
    </row>
    <row r="14" spans="1:6" x14ac:dyDescent="0.25">
      <c r="A14" s="1" t="s">
        <v>32</v>
      </c>
      <c r="B14" s="1" t="str">
        <f>VLOOKUP(A14,key!A:F,4,FALSE)</f>
        <v>OA</v>
      </c>
      <c r="C14" s="1">
        <f>VLOOKUP(A14,key!A:F,5,FALSE)</f>
        <v>3</v>
      </c>
      <c r="D14" s="1" t="s">
        <v>152</v>
      </c>
      <c r="E14" s="1">
        <v>3</v>
      </c>
      <c r="F14" s="1" t="s">
        <v>368</v>
      </c>
    </row>
    <row r="15" spans="1:6" x14ac:dyDescent="0.25">
      <c r="A15" s="1" t="s">
        <v>33</v>
      </c>
      <c r="B15" s="1" t="str">
        <f>VLOOKUP(A15,key!A:F,4,FALSE)</f>
        <v>OA</v>
      </c>
      <c r="C15" s="1">
        <f>VLOOKUP(A15,key!A:F,5,FALSE)</f>
        <v>3</v>
      </c>
      <c r="D15" s="1" t="s">
        <v>152</v>
      </c>
      <c r="E15" s="1">
        <v>3</v>
      </c>
      <c r="F15" s="1" t="s">
        <v>368</v>
      </c>
    </row>
    <row r="16" spans="1:6" x14ac:dyDescent="0.25">
      <c r="A16" s="1" t="s">
        <v>34</v>
      </c>
      <c r="B16" s="1" t="str">
        <f>VLOOKUP(A16,key!A:F,4,FALSE)</f>
        <v>OA</v>
      </c>
      <c r="C16" s="1">
        <f>VLOOKUP(A16,key!A:F,5,FALSE)</f>
        <v>3</v>
      </c>
      <c r="D16" s="1" t="s">
        <v>152</v>
      </c>
      <c r="E16" s="1">
        <v>3</v>
      </c>
      <c r="F16" s="1" t="s">
        <v>368</v>
      </c>
    </row>
    <row r="17" spans="1:6" x14ac:dyDescent="0.25">
      <c r="A17" s="1" t="s">
        <v>35</v>
      </c>
      <c r="B17" s="1" t="str">
        <f>VLOOKUP(A17,key!A:F,4,FALSE)</f>
        <v>OA</v>
      </c>
      <c r="C17" s="1">
        <f>VLOOKUP(A17,key!A:F,5,FALSE)</f>
        <v>3</v>
      </c>
      <c r="D17" s="1" t="s">
        <v>152</v>
      </c>
      <c r="E17" s="1">
        <v>3</v>
      </c>
      <c r="F17" s="1" t="s">
        <v>368</v>
      </c>
    </row>
    <row r="18" spans="1:6" x14ac:dyDescent="0.25">
      <c r="A18" s="1" t="s">
        <v>37</v>
      </c>
      <c r="B18" s="1" t="str">
        <f>VLOOKUP(A18,key!A:F,4,FALSE)</f>
        <v>OA</v>
      </c>
      <c r="C18" s="1">
        <f>VLOOKUP(A18,key!A:F,5,FALSE)</f>
        <v>3</v>
      </c>
      <c r="D18" s="1" t="s">
        <v>152</v>
      </c>
      <c r="E18" s="1">
        <v>3</v>
      </c>
      <c r="F18" s="1" t="s">
        <v>368</v>
      </c>
    </row>
    <row r="19" spans="1:6" x14ac:dyDescent="0.25">
      <c r="A19" s="1" t="s">
        <v>39</v>
      </c>
      <c r="B19" s="1" t="str">
        <f>VLOOKUP(A19,key!A:F,4,FALSE)</f>
        <v>OA</v>
      </c>
      <c r="C19" s="1">
        <f>VLOOKUP(A19,key!A:F,5,FALSE)</f>
        <v>3</v>
      </c>
      <c r="D19" s="1" t="s">
        <v>152</v>
      </c>
      <c r="E19" s="1">
        <v>3</v>
      </c>
      <c r="F19" s="1" t="s">
        <v>368</v>
      </c>
    </row>
    <row r="20" spans="1:6" x14ac:dyDescent="0.25">
      <c r="A20" s="1" t="s">
        <v>41</v>
      </c>
      <c r="B20" s="1" t="str">
        <f>VLOOKUP(A20,key!A:F,4,FALSE)</f>
        <v>OA</v>
      </c>
      <c r="C20" s="1">
        <f>VLOOKUP(A20,key!A:F,5,FALSE)</f>
        <v>3</v>
      </c>
      <c r="D20" s="1" t="s">
        <v>152</v>
      </c>
      <c r="E20" s="1">
        <v>3</v>
      </c>
      <c r="F20" s="1" t="s">
        <v>368</v>
      </c>
    </row>
    <row r="21" spans="1:6" x14ac:dyDescent="0.25">
      <c r="A21" s="1" t="s">
        <v>43</v>
      </c>
      <c r="B21" s="1" t="str">
        <f>VLOOKUP(A21,key!A:F,4,FALSE)</f>
        <v>OA</v>
      </c>
      <c r="C21" s="1">
        <f>VLOOKUP(A21,key!A:F,5,FALSE)</f>
        <v>3</v>
      </c>
      <c r="D21" s="1" t="s">
        <v>152</v>
      </c>
      <c r="E21" s="1">
        <v>3</v>
      </c>
      <c r="F21" s="1" t="s">
        <v>368</v>
      </c>
    </row>
    <row r="22" spans="1:6" x14ac:dyDescent="0.25">
      <c r="A22" s="1" t="s">
        <v>44</v>
      </c>
      <c r="B22" s="1" t="str">
        <f>VLOOKUP(A22,key!A:F,4,FALSE)</f>
        <v>OA</v>
      </c>
      <c r="C22" s="1">
        <f>VLOOKUP(A22,key!A:F,5,FALSE)</f>
        <v>3</v>
      </c>
      <c r="D22" s="1" t="s">
        <v>152</v>
      </c>
      <c r="E22" s="1">
        <v>3</v>
      </c>
      <c r="F22" s="1" t="s">
        <v>368</v>
      </c>
    </row>
    <row r="23" spans="1:6" x14ac:dyDescent="0.25">
      <c r="A23" s="1" t="s">
        <v>45</v>
      </c>
      <c r="B23" s="1" t="str">
        <f>VLOOKUP(A23,key!A:F,4,FALSE)</f>
        <v>OA</v>
      </c>
      <c r="C23" s="1">
        <f>VLOOKUP(A23,key!A:F,5,FALSE)</f>
        <v>3</v>
      </c>
      <c r="D23" s="1" t="s">
        <v>152</v>
      </c>
      <c r="E23" s="1">
        <v>3</v>
      </c>
      <c r="F23" s="1" t="s">
        <v>368</v>
      </c>
    </row>
    <row r="24" spans="1:6" x14ac:dyDescent="0.25">
      <c r="A24" s="1" t="s">
        <v>87</v>
      </c>
      <c r="B24" s="1" t="str">
        <f>VLOOKUP(A24,key!A:F,4,FALSE)</f>
        <v>OW</v>
      </c>
      <c r="C24" s="1">
        <f>VLOOKUP(A24,key!A:F,5,FALSE)</f>
        <v>3</v>
      </c>
      <c r="D24" s="1" t="s">
        <v>151</v>
      </c>
      <c r="E24" s="1">
        <v>3</v>
      </c>
      <c r="F24" s="1" t="s">
        <v>368</v>
      </c>
    </row>
    <row r="25" spans="1:6" x14ac:dyDescent="0.25">
      <c r="A25" s="1" t="s">
        <v>90</v>
      </c>
      <c r="B25" s="1" t="str">
        <f>VLOOKUP(A25,key!A:F,4,FALSE)</f>
        <v>OW</v>
      </c>
      <c r="C25" s="1">
        <f>VLOOKUP(A25,key!A:F,5,FALSE)</f>
        <v>3</v>
      </c>
      <c r="D25" s="1" t="s">
        <v>151</v>
      </c>
      <c r="E25" s="1">
        <v>3</v>
      </c>
      <c r="F25" s="1" t="s">
        <v>368</v>
      </c>
    </row>
    <row r="26" spans="1:6" x14ac:dyDescent="0.25">
      <c r="A26" s="1" t="s">
        <v>91</v>
      </c>
      <c r="B26" s="1" t="str">
        <f>VLOOKUP(A26,key!A:F,4,FALSE)</f>
        <v>OW</v>
      </c>
      <c r="C26" s="1">
        <f>VLOOKUP(A26,key!A:F,5,FALSE)</f>
        <v>3</v>
      </c>
      <c r="D26" s="1" t="s">
        <v>151</v>
      </c>
      <c r="E26" s="1">
        <v>3</v>
      </c>
      <c r="F26" s="1" t="s">
        <v>368</v>
      </c>
    </row>
    <row r="27" spans="1:6" x14ac:dyDescent="0.25">
      <c r="A27" s="1" t="s">
        <v>92</v>
      </c>
      <c r="B27" s="1" t="str">
        <f>VLOOKUP(A27,key!A:F,4,FALSE)</f>
        <v>OW</v>
      </c>
      <c r="C27" s="1">
        <f>VLOOKUP(A27,key!A:F,5,FALSE)</f>
        <v>3</v>
      </c>
      <c r="D27" s="1" t="s">
        <v>151</v>
      </c>
      <c r="E27" s="1">
        <v>3</v>
      </c>
      <c r="F27" s="1" t="s">
        <v>368</v>
      </c>
    </row>
    <row r="28" spans="1:6" x14ac:dyDescent="0.25">
      <c r="A28" s="1" t="s">
        <v>48</v>
      </c>
      <c r="B28" s="1" t="str">
        <f>VLOOKUP(A28,key!A:F,4,FALSE)</f>
        <v>OW</v>
      </c>
      <c r="C28" s="1">
        <f>VLOOKUP(A28,key!A:F,5,FALSE)</f>
        <v>3</v>
      </c>
      <c r="D28" s="1" t="s">
        <v>152</v>
      </c>
      <c r="E28" s="1">
        <v>3</v>
      </c>
      <c r="F28" s="1" t="s">
        <v>368</v>
      </c>
    </row>
    <row r="29" spans="1:6" x14ac:dyDescent="0.25">
      <c r="A29" s="1" t="s">
        <v>49</v>
      </c>
      <c r="B29" s="1" t="str">
        <f>VLOOKUP(A29,key!A:F,4,FALSE)</f>
        <v>OW</v>
      </c>
      <c r="C29" s="1">
        <f>VLOOKUP(A29,key!A:F,5,FALSE)</f>
        <v>3</v>
      </c>
      <c r="D29" s="1" t="s">
        <v>152</v>
      </c>
      <c r="E29" s="1">
        <v>3</v>
      </c>
      <c r="F29" s="1" t="s">
        <v>368</v>
      </c>
    </row>
    <row r="30" spans="1:6" x14ac:dyDescent="0.25">
      <c r="A30" s="1" t="s">
        <v>50</v>
      </c>
      <c r="B30" s="1" t="str">
        <f>VLOOKUP(A30,key!A:F,4,FALSE)</f>
        <v>OW</v>
      </c>
      <c r="C30" s="1">
        <f>VLOOKUP(A30,key!A:F,5,FALSE)</f>
        <v>3</v>
      </c>
      <c r="D30" s="1" t="s">
        <v>152</v>
      </c>
      <c r="E30" s="1">
        <v>3</v>
      </c>
      <c r="F30" s="1" t="s">
        <v>368</v>
      </c>
    </row>
    <row r="31" spans="1:6" x14ac:dyDescent="0.25">
      <c r="A31" s="1" t="s">
        <v>52</v>
      </c>
      <c r="B31" s="1" t="str">
        <f>VLOOKUP(A31,key!A:F,4,FALSE)</f>
        <v>OW</v>
      </c>
      <c r="C31" s="1">
        <f>VLOOKUP(A31,key!A:F,5,FALSE)</f>
        <v>3</v>
      </c>
      <c r="D31" s="1" t="s">
        <v>152</v>
      </c>
      <c r="E31" s="1">
        <v>3</v>
      </c>
      <c r="F31" s="1" t="s">
        <v>368</v>
      </c>
    </row>
    <row r="32" spans="1:6" x14ac:dyDescent="0.25">
      <c r="A32" s="1" t="s">
        <v>53</v>
      </c>
      <c r="B32" s="1" t="str">
        <f>VLOOKUP(A32,key!A:F,4,FALSE)</f>
        <v>OW</v>
      </c>
      <c r="C32" s="1">
        <f>VLOOKUP(A32,key!A:F,5,FALSE)</f>
        <v>3</v>
      </c>
      <c r="D32" s="1" t="s">
        <v>152</v>
      </c>
      <c r="E32" s="1">
        <v>3</v>
      </c>
      <c r="F32" s="1" t="s">
        <v>368</v>
      </c>
    </row>
    <row r="33" spans="1:6" x14ac:dyDescent="0.25">
      <c r="A33" s="1" t="s">
        <v>54</v>
      </c>
      <c r="B33" s="1" t="str">
        <f>VLOOKUP(A33,key!A:F,4,FALSE)</f>
        <v>OW</v>
      </c>
      <c r="C33" s="1">
        <f>VLOOKUP(A33,key!A:F,5,FALSE)</f>
        <v>3</v>
      </c>
      <c r="D33" s="1" t="s">
        <v>152</v>
      </c>
      <c r="E33" s="1">
        <v>3</v>
      </c>
      <c r="F33" s="1" t="s">
        <v>368</v>
      </c>
    </row>
    <row r="34" spans="1:6" x14ac:dyDescent="0.25">
      <c r="A34" s="1" t="s">
        <v>55</v>
      </c>
      <c r="B34" s="1" t="str">
        <f>VLOOKUP(A34,key!A:F,4,FALSE)</f>
        <v>OW</v>
      </c>
      <c r="C34" s="1">
        <f>VLOOKUP(A34,key!A:F,5,FALSE)</f>
        <v>3</v>
      </c>
      <c r="D34" s="1" t="s">
        <v>152</v>
      </c>
      <c r="E34" s="1">
        <v>3</v>
      </c>
      <c r="F34" s="1" t="s">
        <v>368</v>
      </c>
    </row>
    <row r="35" spans="1:6" x14ac:dyDescent="0.25">
      <c r="A35" s="1" t="s">
        <v>56</v>
      </c>
      <c r="B35" s="1" t="str">
        <f>VLOOKUP(A35,key!A:F,4,FALSE)</f>
        <v>OW</v>
      </c>
      <c r="C35" s="1">
        <f>VLOOKUP(A35,key!A:F,5,FALSE)</f>
        <v>3</v>
      </c>
      <c r="D35" s="1" t="s">
        <v>152</v>
      </c>
      <c r="E35" s="1">
        <v>3</v>
      </c>
      <c r="F35" s="1" t="s">
        <v>368</v>
      </c>
    </row>
    <row r="36" spans="1:6" x14ac:dyDescent="0.25">
      <c r="A36" s="1" t="s">
        <v>57</v>
      </c>
      <c r="B36" s="1" t="str">
        <f>VLOOKUP(A36,key!A:F,4,FALSE)</f>
        <v>OW</v>
      </c>
      <c r="C36" s="1">
        <f>VLOOKUP(A36,key!A:F,5,FALSE)</f>
        <v>3</v>
      </c>
      <c r="D36" s="1" t="s">
        <v>152</v>
      </c>
      <c r="E36" s="1">
        <v>3</v>
      </c>
      <c r="F36" s="1" t="s">
        <v>368</v>
      </c>
    </row>
    <row r="37" spans="1:6" x14ac:dyDescent="0.25">
      <c r="A37" s="1" t="s">
        <v>58</v>
      </c>
      <c r="B37" s="1" t="str">
        <f>VLOOKUP(A37,key!A:F,4,FALSE)</f>
        <v>OW</v>
      </c>
      <c r="C37" s="1">
        <f>VLOOKUP(A37,key!A:F,5,FALSE)</f>
        <v>3</v>
      </c>
      <c r="D37" s="1" t="s">
        <v>152</v>
      </c>
      <c r="E37" s="1">
        <v>3</v>
      </c>
      <c r="F37" s="1" t="s">
        <v>368</v>
      </c>
    </row>
    <row r="38" spans="1:6" x14ac:dyDescent="0.25">
      <c r="A38" s="1" t="s">
        <v>59</v>
      </c>
      <c r="B38" s="1" t="str">
        <f>VLOOKUP(A38,key!A:F,4,FALSE)</f>
        <v>OW</v>
      </c>
      <c r="C38" s="1">
        <f>VLOOKUP(A38,key!A:F,5,FALSE)</f>
        <v>3</v>
      </c>
      <c r="D38" s="1" t="s">
        <v>152</v>
      </c>
      <c r="E38" s="1">
        <v>3</v>
      </c>
      <c r="F38" s="1" t="s">
        <v>368</v>
      </c>
    </row>
    <row r="39" spans="1:6" x14ac:dyDescent="0.25">
      <c r="A39" s="1" t="s">
        <v>60</v>
      </c>
      <c r="B39" s="1" t="str">
        <f>VLOOKUP(A39,key!A:F,4,FALSE)</f>
        <v>OW</v>
      </c>
      <c r="C39" s="1">
        <f>VLOOKUP(A39,key!A:F,5,FALSE)</f>
        <v>3</v>
      </c>
      <c r="D39" s="1" t="s">
        <v>152</v>
      </c>
      <c r="E39" s="1">
        <v>3</v>
      </c>
      <c r="F39" s="1" t="s">
        <v>368</v>
      </c>
    </row>
    <row r="40" spans="1:6" x14ac:dyDescent="0.25">
      <c r="A40" s="1" t="s">
        <v>82</v>
      </c>
      <c r="B40" s="1" t="str">
        <f>VLOOKUP(A40,key!A:F,4,FALSE)</f>
        <v>OA</v>
      </c>
      <c r="C40" s="1">
        <f>VLOOKUP(A40,key!A:F,5,FALSE)</f>
        <v>3</v>
      </c>
      <c r="D40" s="1" t="s">
        <v>151</v>
      </c>
      <c r="E40" s="1">
        <v>3</v>
      </c>
      <c r="F40" s="1" t="s">
        <v>368</v>
      </c>
    </row>
    <row r="41" spans="1:6" x14ac:dyDescent="0.25">
      <c r="A41" s="1" t="s">
        <v>83</v>
      </c>
      <c r="B41" s="1" t="str">
        <f>VLOOKUP(A41,key!A:F,4,FALSE)</f>
        <v>OA</v>
      </c>
      <c r="C41" s="1">
        <f>VLOOKUP(A41,key!A:F,5,FALSE)</f>
        <v>3</v>
      </c>
      <c r="D41" s="1" t="s">
        <v>151</v>
      </c>
      <c r="E41" s="1">
        <v>3</v>
      </c>
      <c r="F41" s="1" t="s">
        <v>368</v>
      </c>
    </row>
    <row r="42" spans="1:6" x14ac:dyDescent="0.25">
      <c r="A42" s="1" t="s">
        <v>84</v>
      </c>
      <c r="B42" s="1" t="str">
        <f>VLOOKUP(A42,key!A:F,4,FALSE)</f>
        <v>OA</v>
      </c>
      <c r="C42" s="1">
        <f>VLOOKUP(A42,key!A:F,5,FALSE)</f>
        <v>3</v>
      </c>
      <c r="D42" s="1" t="s">
        <v>151</v>
      </c>
      <c r="E42" s="1">
        <v>3</v>
      </c>
      <c r="F42" s="1" t="s">
        <v>368</v>
      </c>
    </row>
    <row r="43" spans="1:6" x14ac:dyDescent="0.25">
      <c r="A43" s="1" t="s">
        <v>8</v>
      </c>
      <c r="B43" s="1" t="str">
        <f>VLOOKUP(A43,key!A:F,4,FALSE)</f>
        <v>control</v>
      </c>
      <c r="C43" s="1">
        <f>VLOOKUP(A43,key!A:F,5,FALSE)</f>
        <v>0</v>
      </c>
      <c r="D43" s="1" t="s">
        <v>151</v>
      </c>
      <c r="E43" s="1">
        <v>0</v>
      </c>
      <c r="F43" s="1" t="s">
        <v>368</v>
      </c>
    </row>
    <row r="44" spans="1:6" x14ac:dyDescent="0.25">
      <c r="A44" s="1" t="s">
        <v>9</v>
      </c>
      <c r="B44" s="1" t="str">
        <f>VLOOKUP(A44,key!A:F,4,FALSE)</f>
        <v>control</v>
      </c>
      <c r="C44" s="1">
        <f>VLOOKUP(A44,key!A:F,5,FALSE)</f>
        <v>0</v>
      </c>
      <c r="D44" s="1" t="s">
        <v>151</v>
      </c>
      <c r="E44" s="1">
        <v>0</v>
      </c>
      <c r="F44" s="1" t="s">
        <v>368</v>
      </c>
    </row>
    <row r="45" spans="1:6" x14ac:dyDescent="0.25">
      <c r="A45" s="1" t="s">
        <v>10</v>
      </c>
      <c r="B45" s="1" t="str">
        <f>VLOOKUP(A45,key!A:F,4,FALSE)</f>
        <v>control</v>
      </c>
      <c r="C45" s="1">
        <f>VLOOKUP(A45,key!A:F,5,FALSE)</f>
        <v>0</v>
      </c>
      <c r="D45" s="1" t="s">
        <v>151</v>
      </c>
      <c r="E45" s="1">
        <v>0</v>
      </c>
      <c r="F45" s="1" t="s">
        <v>368</v>
      </c>
    </row>
    <row r="46" spans="1:6" x14ac:dyDescent="0.25">
      <c r="A46" s="1" t="s">
        <v>11</v>
      </c>
      <c r="B46" s="1" t="str">
        <f>VLOOKUP(A46,key!A:F,4,FALSE)</f>
        <v>control</v>
      </c>
      <c r="C46" s="1">
        <f>VLOOKUP(A46,key!A:F,5,FALSE)</f>
        <v>0</v>
      </c>
      <c r="D46" s="1" t="s">
        <v>151</v>
      </c>
      <c r="E46" s="1">
        <v>0</v>
      </c>
      <c r="F46" s="1" t="s">
        <v>368</v>
      </c>
    </row>
    <row r="47" spans="1:6" x14ac:dyDescent="0.25">
      <c r="A47" s="1" t="s">
        <v>12</v>
      </c>
      <c r="B47" s="1" t="str">
        <f>VLOOKUP(A47,key!A:F,4,FALSE)</f>
        <v>control</v>
      </c>
      <c r="C47" s="1">
        <f>VLOOKUP(A47,key!A:F,5,FALSE)</f>
        <v>0</v>
      </c>
      <c r="D47" s="1" t="s">
        <v>151</v>
      </c>
      <c r="E47" s="1">
        <v>0</v>
      </c>
      <c r="F47" s="1" t="s">
        <v>368</v>
      </c>
    </row>
    <row r="48" spans="1:6" x14ac:dyDescent="0.25">
      <c r="A48" s="1" t="s">
        <v>13</v>
      </c>
      <c r="B48" s="1" t="str">
        <f>VLOOKUP(A48,key!A:F,4,FALSE)</f>
        <v>control</v>
      </c>
      <c r="C48" s="1">
        <f>VLOOKUP(A48,key!A:F,5,FALSE)</f>
        <v>0</v>
      </c>
      <c r="D48" s="1" t="s">
        <v>151</v>
      </c>
      <c r="E48" s="1">
        <v>0</v>
      </c>
      <c r="F48" s="1" t="s">
        <v>368</v>
      </c>
    </row>
    <row r="49" spans="1:6" x14ac:dyDescent="0.25">
      <c r="A49" s="1" t="s">
        <v>14</v>
      </c>
      <c r="B49" s="1" t="str">
        <f>VLOOKUP(A49,key!A:F,4,FALSE)</f>
        <v>control</v>
      </c>
      <c r="C49" s="1">
        <f>VLOOKUP(A49,key!A:F,5,FALSE)</f>
        <v>0</v>
      </c>
      <c r="D49" s="1" t="s">
        <v>151</v>
      </c>
      <c r="E49" s="1">
        <v>0</v>
      </c>
      <c r="F49" s="1" t="s">
        <v>368</v>
      </c>
    </row>
    <row r="50" spans="1:6" x14ac:dyDescent="0.25">
      <c r="A50" s="1" t="s">
        <v>15</v>
      </c>
      <c r="B50" s="1" t="str">
        <f>VLOOKUP(A50,key!A:F,4,FALSE)</f>
        <v>control</v>
      </c>
      <c r="C50" s="1">
        <f>VLOOKUP(A50,key!A:F,5,FALSE)</f>
        <v>0</v>
      </c>
      <c r="D50" s="1" t="s">
        <v>151</v>
      </c>
      <c r="E50" s="1">
        <v>0</v>
      </c>
      <c r="F50" s="1" t="s">
        <v>368</v>
      </c>
    </row>
    <row r="51" spans="1:6" x14ac:dyDescent="0.25">
      <c r="A51" s="1" t="s">
        <v>16</v>
      </c>
      <c r="B51" s="1" t="str">
        <f>VLOOKUP(A51,key!A:F,4,FALSE)</f>
        <v>control</v>
      </c>
      <c r="C51" s="1">
        <f>VLOOKUP(A51,key!A:F,5,FALSE)</f>
        <v>0</v>
      </c>
      <c r="D51" s="1" t="s">
        <v>151</v>
      </c>
      <c r="E51" s="1">
        <v>0</v>
      </c>
      <c r="F51" s="1" t="s">
        <v>368</v>
      </c>
    </row>
    <row r="52" spans="1:6" x14ac:dyDescent="0.25">
      <c r="A52" s="1" t="s">
        <v>17</v>
      </c>
      <c r="B52" s="1" t="str">
        <f>VLOOKUP(A52,key!A:F,4,FALSE)</f>
        <v>control</v>
      </c>
      <c r="C52" s="1">
        <f>VLOOKUP(A52,key!A:F,5,FALSE)</f>
        <v>0</v>
      </c>
      <c r="D52" s="1" t="s">
        <v>151</v>
      </c>
      <c r="E52" s="1">
        <v>0</v>
      </c>
      <c r="F52" s="1" t="s">
        <v>368</v>
      </c>
    </row>
    <row r="53" spans="1:6" x14ac:dyDescent="0.25">
      <c r="A53" s="1" t="s">
        <v>102</v>
      </c>
      <c r="B53" s="1" t="str">
        <f>VLOOKUP(A53,key!A:F,4,FALSE)</f>
        <v>control</v>
      </c>
      <c r="C53" s="1">
        <f>VLOOKUP(A53,key!A:F,5,FALSE)</f>
        <v>0</v>
      </c>
      <c r="D53" s="1" t="s">
        <v>151</v>
      </c>
      <c r="E53" s="1">
        <v>0</v>
      </c>
      <c r="F53" s="1" t="s">
        <v>368</v>
      </c>
    </row>
    <row r="54" spans="1:6" x14ac:dyDescent="0.25">
      <c r="A54" s="1" t="s">
        <v>103</v>
      </c>
      <c r="B54" s="1" t="str">
        <f>VLOOKUP(A54,key!A:F,4,FALSE)</f>
        <v>control</v>
      </c>
      <c r="C54" s="1">
        <f>VLOOKUP(A54,key!A:F,5,FALSE)</f>
        <v>0</v>
      </c>
      <c r="D54" s="1" t="s">
        <v>151</v>
      </c>
      <c r="E54" s="1">
        <v>0</v>
      </c>
      <c r="F54" s="1" t="s">
        <v>368</v>
      </c>
    </row>
    <row r="55" spans="1:6" x14ac:dyDescent="0.25">
      <c r="A55" s="1" t="s">
        <v>18</v>
      </c>
      <c r="B55" s="1" t="str">
        <f>VLOOKUP(A55,key!A:F,4,FALSE)</f>
        <v>control</v>
      </c>
      <c r="C55" s="1">
        <f>VLOOKUP(A55,key!A:F,5,FALSE)</f>
        <v>0</v>
      </c>
      <c r="D55" s="1" t="s">
        <v>152</v>
      </c>
      <c r="E55" s="1">
        <v>0</v>
      </c>
      <c r="F55" s="1" t="s">
        <v>368</v>
      </c>
    </row>
    <row r="56" spans="1:6" x14ac:dyDescent="0.25">
      <c r="A56" s="1" t="s">
        <v>19</v>
      </c>
      <c r="B56" s="1" t="str">
        <f>VLOOKUP(A56,key!A:F,4,FALSE)</f>
        <v>control</v>
      </c>
      <c r="C56" s="1">
        <f>VLOOKUP(A56,key!A:F,5,FALSE)</f>
        <v>0</v>
      </c>
      <c r="D56" s="1" t="s">
        <v>152</v>
      </c>
      <c r="E56" s="1">
        <v>0</v>
      </c>
      <c r="F56" s="1" t="s">
        <v>368</v>
      </c>
    </row>
    <row r="57" spans="1:6" x14ac:dyDescent="0.25">
      <c r="A57" s="1" t="s">
        <v>20</v>
      </c>
      <c r="B57" s="1" t="str">
        <f>VLOOKUP(A57,key!A:F,4,FALSE)</f>
        <v>control</v>
      </c>
      <c r="C57" s="1">
        <f>VLOOKUP(A57,key!A:F,5,FALSE)</f>
        <v>0</v>
      </c>
      <c r="D57" s="1" t="s">
        <v>152</v>
      </c>
      <c r="E57" s="1">
        <v>0</v>
      </c>
      <c r="F57" s="1" t="s">
        <v>368</v>
      </c>
    </row>
    <row r="58" spans="1:6" x14ac:dyDescent="0.25">
      <c r="A58" s="1" t="s">
        <v>21</v>
      </c>
      <c r="B58" s="1" t="str">
        <f>VLOOKUP(A58,key!A:F,4,FALSE)</f>
        <v>control</v>
      </c>
      <c r="C58" s="1">
        <f>VLOOKUP(A58,key!A:F,5,FALSE)</f>
        <v>0</v>
      </c>
      <c r="D58" s="1" t="s">
        <v>152</v>
      </c>
      <c r="E58" s="1">
        <v>0</v>
      </c>
      <c r="F58" s="1" t="s">
        <v>368</v>
      </c>
    </row>
    <row r="59" spans="1:6" x14ac:dyDescent="0.25">
      <c r="A59" s="1" t="s">
        <v>22</v>
      </c>
      <c r="B59" s="1" t="str">
        <f>VLOOKUP(A59,key!A:F,4,FALSE)</f>
        <v>control</v>
      </c>
      <c r="C59" s="1">
        <f>VLOOKUP(A59,key!A:F,5,FALSE)</f>
        <v>0</v>
      </c>
      <c r="D59" s="1" t="s">
        <v>152</v>
      </c>
      <c r="E59" s="1">
        <v>0</v>
      </c>
      <c r="F59" s="1" t="s">
        <v>368</v>
      </c>
    </row>
    <row r="60" spans="1:6" x14ac:dyDescent="0.25">
      <c r="A60" s="1" t="s">
        <v>23</v>
      </c>
      <c r="B60" s="1" t="str">
        <f>VLOOKUP(A60,key!A:F,4,FALSE)</f>
        <v>control</v>
      </c>
      <c r="C60" s="1">
        <f>VLOOKUP(A60,key!A:F,5,FALSE)</f>
        <v>0</v>
      </c>
      <c r="D60" s="1" t="s">
        <v>152</v>
      </c>
      <c r="E60" s="1">
        <v>0</v>
      </c>
      <c r="F60" s="1" t="s">
        <v>368</v>
      </c>
    </row>
    <row r="61" spans="1:6" x14ac:dyDescent="0.25">
      <c r="A61" s="1" t="s">
        <v>24</v>
      </c>
      <c r="B61" s="1" t="str">
        <f>VLOOKUP(A61,key!A:F,4,FALSE)</f>
        <v>control</v>
      </c>
      <c r="C61" s="1">
        <f>VLOOKUP(A61,key!A:F,5,FALSE)</f>
        <v>0</v>
      </c>
      <c r="D61" s="1" t="s">
        <v>152</v>
      </c>
      <c r="E61" s="1">
        <v>0</v>
      </c>
      <c r="F61" s="1" t="s">
        <v>368</v>
      </c>
    </row>
    <row r="62" spans="1:6" x14ac:dyDescent="0.25">
      <c r="A62" s="1" t="s">
        <v>25</v>
      </c>
      <c r="B62" s="1" t="str">
        <f>VLOOKUP(A62,key!A:F,4,FALSE)</f>
        <v>control</v>
      </c>
      <c r="C62" s="1">
        <f>VLOOKUP(A62,key!A:F,5,FALSE)</f>
        <v>0</v>
      </c>
      <c r="D62" s="1" t="s">
        <v>152</v>
      </c>
      <c r="E62" s="1">
        <v>0</v>
      </c>
      <c r="F62" s="1" t="s">
        <v>368</v>
      </c>
    </row>
    <row r="63" spans="1:6" x14ac:dyDescent="0.25">
      <c r="A63" s="1" t="s">
        <v>26</v>
      </c>
      <c r="B63" s="1" t="str">
        <f>VLOOKUP(A63,key!A:F,4,FALSE)</f>
        <v>control</v>
      </c>
      <c r="C63" s="1">
        <f>VLOOKUP(A63,key!A:F,5,FALSE)</f>
        <v>0</v>
      </c>
      <c r="D63" s="1" t="s">
        <v>152</v>
      </c>
      <c r="E63" s="1">
        <v>0</v>
      </c>
      <c r="F63" s="1" t="s">
        <v>368</v>
      </c>
    </row>
    <row r="64" spans="1:6" x14ac:dyDescent="0.25">
      <c r="A64" s="1" t="s">
        <v>27</v>
      </c>
      <c r="B64" s="1" t="str">
        <f>VLOOKUP(A64,key!A:F,4,FALSE)</f>
        <v>control</v>
      </c>
      <c r="C64" s="1">
        <f>VLOOKUP(A64,key!A:F,5,FALSE)</f>
        <v>0</v>
      </c>
      <c r="D64" s="1" t="s">
        <v>152</v>
      </c>
      <c r="E64" s="1">
        <v>0</v>
      </c>
      <c r="F64" s="1" t="s">
        <v>368</v>
      </c>
    </row>
    <row r="65" spans="1:6" x14ac:dyDescent="0.25">
      <c r="A65" s="1" t="s">
        <v>104</v>
      </c>
      <c r="B65" s="1" t="str">
        <f>VLOOKUP(A65,key!A:F,4,FALSE)</f>
        <v>control</v>
      </c>
      <c r="C65" s="1">
        <f>VLOOKUP(A65,key!A:F,5,FALSE)</f>
        <v>0</v>
      </c>
      <c r="D65" s="1" t="s">
        <v>152</v>
      </c>
      <c r="E65" s="1">
        <v>0</v>
      </c>
      <c r="F65" s="1" t="s">
        <v>368</v>
      </c>
    </row>
    <row r="66" spans="1:6" x14ac:dyDescent="0.25">
      <c r="A66" s="1" t="s">
        <v>105</v>
      </c>
      <c r="B66" s="1" t="str">
        <f>VLOOKUP(A66,key!A:F,4,FALSE)</f>
        <v>control</v>
      </c>
      <c r="C66" s="1">
        <f>VLOOKUP(A66,key!A:F,5,FALSE)</f>
        <v>0</v>
      </c>
      <c r="D66" s="1" t="s">
        <v>152</v>
      </c>
      <c r="E66" s="1">
        <v>0</v>
      </c>
      <c r="F66" s="1" t="s">
        <v>368</v>
      </c>
    </row>
    <row r="67" spans="1:6" x14ac:dyDescent="0.25">
      <c r="A67" s="1" t="s">
        <v>223</v>
      </c>
      <c r="B67" s="1" t="str">
        <f>VLOOKUP(A67,key!A:F,4,FALSE)</f>
        <v>desiccation</v>
      </c>
      <c r="C67" s="1" t="str">
        <f>VLOOKUP(A67,key!A:F,5,FALSE)</f>
        <v>24h</v>
      </c>
      <c r="D67" s="1" t="s">
        <v>152</v>
      </c>
      <c r="E67" s="1" t="s">
        <v>248</v>
      </c>
      <c r="F67" s="1" t="s">
        <v>370</v>
      </c>
    </row>
    <row r="68" spans="1:6" x14ac:dyDescent="0.25">
      <c r="A68" s="1" t="s">
        <v>236</v>
      </c>
      <c r="B68" s="1" t="str">
        <f>VLOOKUP(A68,key!A:F,4,FALSE)</f>
        <v>desiccation</v>
      </c>
      <c r="C68" s="1" t="str">
        <f>VLOOKUP(A68,key!A:F,5,FALSE)</f>
        <v>24h</v>
      </c>
      <c r="D68" s="1" t="s">
        <v>152</v>
      </c>
      <c r="E68" s="1" t="s">
        <v>248</v>
      </c>
      <c r="F68" s="1" t="s">
        <v>370</v>
      </c>
    </row>
    <row r="69" spans="1:6" x14ac:dyDescent="0.25">
      <c r="A69" s="1" t="s">
        <v>237</v>
      </c>
      <c r="B69" s="1" t="str">
        <f>VLOOKUP(A69,key!A:F,4,FALSE)</f>
        <v>desiccation</v>
      </c>
      <c r="C69" s="1" t="str">
        <f>VLOOKUP(A69,key!A:F,5,FALSE)</f>
        <v>24h</v>
      </c>
      <c r="D69" s="1" t="s">
        <v>152</v>
      </c>
      <c r="E69" s="1" t="s">
        <v>248</v>
      </c>
      <c r="F69" s="1" t="s">
        <v>370</v>
      </c>
    </row>
    <row r="70" spans="1:6" x14ac:dyDescent="0.25">
      <c r="A70" s="1" t="s">
        <v>238</v>
      </c>
      <c r="B70" s="1" t="str">
        <f>VLOOKUP(A70,key!A:F,4,FALSE)</f>
        <v>desiccation</v>
      </c>
      <c r="C70" s="1" t="str">
        <f>VLOOKUP(A70,key!A:F,5,FALSE)</f>
        <v>24h</v>
      </c>
      <c r="D70" s="1" t="s">
        <v>152</v>
      </c>
      <c r="E70" s="1" t="s">
        <v>248</v>
      </c>
      <c r="F70" s="1" t="s">
        <v>370</v>
      </c>
    </row>
    <row r="71" spans="1:6" x14ac:dyDescent="0.25">
      <c r="A71" s="1" t="s">
        <v>239</v>
      </c>
      <c r="B71" s="1" t="str">
        <f>VLOOKUP(A71,key!A:F,4,FALSE)</f>
        <v>desiccation</v>
      </c>
      <c r="C71" s="1" t="str">
        <f>VLOOKUP(A71,key!A:F,5,FALSE)</f>
        <v>24h</v>
      </c>
      <c r="D71" s="1" t="s">
        <v>152</v>
      </c>
      <c r="E71" s="1" t="s">
        <v>248</v>
      </c>
      <c r="F71" s="1" t="s">
        <v>370</v>
      </c>
    </row>
    <row r="72" spans="1:6" x14ac:dyDescent="0.25">
      <c r="A72" s="1" t="s">
        <v>240</v>
      </c>
      <c r="B72" s="1" t="str">
        <f>VLOOKUP(A72,key!A:F,4,FALSE)</f>
        <v>desiccation</v>
      </c>
      <c r="C72" s="1" t="str">
        <f>VLOOKUP(A72,key!A:F,5,FALSE)</f>
        <v>24h</v>
      </c>
      <c r="D72" s="1" t="s">
        <v>152</v>
      </c>
      <c r="E72" s="1" t="s">
        <v>248</v>
      </c>
      <c r="F72" s="1" t="s">
        <v>370</v>
      </c>
    </row>
    <row r="73" spans="1:6" x14ac:dyDescent="0.25">
      <c r="A73" s="1" t="s">
        <v>241</v>
      </c>
      <c r="B73" s="1" t="str">
        <f>VLOOKUP(A73,key!A:F,4,FALSE)</f>
        <v>desiccation</v>
      </c>
      <c r="C73" s="1" t="str">
        <f>VLOOKUP(A73,key!A:F,5,FALSE)</f>
        <v>24h</v>
      </c>
      <c r="D73" s="1" t="s">
        <v>152</v>
      </c>
      <c r="E73" s="1" t="s">
        <v>248</v>
      </c>
      <c r="F73" s="1" t="s">
        <v>370</v>
      </c>
    </row>
    <row r="74" spans="1:6" x14ac:dyDescent="0.25">
      <c r="A74" s="1" t="s">
        <v>242</v>
      </c>
      <c r="B74" s="1" t="str">
        <f>VLOOKUP(A74,key!A:F,4,FALSE)</f>
        <v>desiccation</v>
      </c>
      <c r="C74" s="1" t="str">
        <f>VLOOKUP(A74,key!A:F,5,FALSE)</f>
        <v>24h</v>
      </c>
      <c r="D74" s="1" t="s">
        <v>152</v>
      </c>
      <c r="E74" s="1" t="s">
        <v>248</v>
      </c>
      <c r="F74" s="1" t="s">
        <v>370</v>
      </c>
    </row>
    <row r="75" spans="1:6" x14ac:dyDescent="0.25">
      <c r="A75" s="1" t="s">
        <v>243</v>
      </c>
      <c r="B75" s="1" t="str">
        <f>VLOOKUP(A75,key!A:F,4,FALSE)</f>
        <v>desiccation</v>
      </c>
      <c r="C75" s="1" t="str">
        <f>VLOOKUP(A75,key!A:F,5,FALSE)</f>
        <v>24h</v>
      </c>
      <c r="D75" s="1" t="s">
        <v>152</v>
      </c>
      <c r="E75" s="1" t="s">
        <v>248</v>
      </c>
      <c r="F75" s="1" t="s">
        <v>370</v>
      </c>
    </row>
    <row r="76" spans="1:6" x14ac:dyDescent="0.25">
      <c r="A76" s="1" t="s">
        <v>244</v>
      </c>
      <c r="B76" s="1" t="str">
        <f>VLOOKUP(A76,key!A:F,4,FALSE)</f>
        <v>desiccation</v>
      </c>
      <c r="C76" s="1" t="str">
        <f>VLOOKUP(A76,key!A:F,5,FALSE)</f>
        <v>24h</v>
      </c>
      <c r="D76" s="1" t="s">
        <v>152</v>
      </c>
      <c r="E76" s="1" t="s">
        <v>248</v>
      </c>
      <c r="F76" s="1" t="s">
        <v>370</v>
      </c>
    </row>
    <row r="77" spans="1:6" x14ac:dyDescent="0.25">
      <c r="A77" s="1" t="s">
        <v>245</v>
      </c>
      <c r="B77" s="1" t="str">
        <f>VLOOKUP(A77,key!A:F,4,FALSE)</f>
        <v>desiccation</v>
      </c>
      <c r="C77" s="1" t="str">
        <f>VLOOKUP(A77,key!A:F,5,FALSE)</f>
        <v>24h</v>
      </c>
      <c r="D77" s="1" t="s">
        <v>152</v>
      </c>
      <c r="E77" s="1" t="s">
        <v>248</v>
      </c>
      <c r="F77" s="1" t="s">
        <v>370</v>
      </c>
    </row>
    <row r="78" spans="1:6" x14ac:dyDescent="0.25">
      <c r="A78" s="1" t="s">
        <v>246</v>
      </c>
      <c r="B78" s="1" t="str">
        <f>VLOOKUP(A78,key!A:F,4,FALSE)</f>
        <v>desiccation</v>
      </c>
      <c r="C78" s="1" t="str">
        <f>VLOOKUP(A78,key!A:F,5,FALSE)</f>
        <v>24h</v>
      </c>
      <c r="D78" s="1" t="s">
        <v>152</v>
      </c>
      <c r="E78" s="1" t="s">
        <v>248</v>
      </c>
      <c r="F78" s="1" t="s">
        <v>370</v>
      </c>
    </row>
    <row r="79" spans="1:6" x14ac:dyDescent="0.25">
      <c r="A79" s="1" t="s">
        <v>224</v>
      </c>
      <c r="B79" s="1" t="str">
        <f>VLOOKUP(A79,key!A:F,4,FALSE)</f>
        <v>control</v>
      </c>
      <c r="C79" s="1">
        <f>VLOOKUP(A79,key!A:F,5,FALSE)</f>
        <v>3</v>
      </c>
      <c r="D79" s="1" t="s">
        <v>151</v>
      </c>
      <c r="E79" s="1">
        <v>3</v>
      </c>
      <c r="F79" s="1" t="s">
        <v>369</v>
      </c>
    </row>
    <row r="80" spans="1:6" x14ac:dyDescent="0.25">
      <c r="A80" s="1" t="s">
        <v>225</v>
      </c>
      <c r="B80" s="1" t="str">
        <f>VLOOKUP(A80,key!A:F,4,FALSE)</f>
        <v>control</v>
      </c>
      <c r="C80" s="1">
        <f>VLOOKUP(A80,key!A:F,5,FALSE)</f>
        <v>3</v>
      </c>
      <c r="D80" s="1" t="s">
        <v>151</v>
      </c>
      <c r="E80" s="1">
        <v>3</v>
      </c>
      <c r="F80" s="1" t="s">
        <v>369</v>
      </c>
    </row>
    <row r="81" spans="1:6" x14ac:dyDescent="0.25">
      <c r="A81" s="1" t="s">
        <v>226</v>
      </c>
      <c r="B81" s="1" t="str">
        <f>VLOOKUP(A81,key!A:F,4,FALSE)</f>
        <v>control</v>
      </c>
      <c r="C81" s="1">
        <f>VLOOKUP(A81,key!A:F,5,FALSE)</f>
        <v>3</v>
      </c>
      <c r="D81" s="1" t="s">
        <v>151</v>
      </c>
      <c r="E81" s="1">
        <v>3</v>
      </c>
      <c r="F81" s="1" t="s">
        <v>369</v>
      </c>
    </row>
    <row r="82" spans="1:6" x14ac:dyDescent="0.25">
      <c r="A82" s="1" t="s">
        <v>227</v>
      </c>
      <c r="B82" s="1" t="str">
        <f>VLOOKUP(A82,key!A:F,4,FALSE)</f>
        <v>control</v>
      </c>
      <c r="C82" s="1">
        <f>VLOOKUP(A82,key!A:F,5,FALSE)</f>
        <v>3</v>
      </c>
      <c r="D82" s="1" t="s">
        <v>151</v>
      </c>
      <c r="E82" s="1">
        <v>3</v>
      </c>
      <c r="F82" s="1" t="s">
        <v>369</v>
      </c>
    </row>
    <row r="83" spans="1:6" x14ac:dyDescent="0.25">
      <c r="A83" s="1" t="s">
        <v>228</v>
      </c>
      <c r="B83" s="1" t="str">
        <f>VLOOKUP(A83,key!A:F,4,FALSE)</f>
        <v>control</v>
      </c>
      <c r="C83" s="1">
        <f>VLOOKUP(A83,key!A:F,5,FALSE)</f>
        <v>3</v>
      </c>
      <c r="D83" s="1" t="s">
        <v>151</v>
      </c>
      <c r="E83" s="1">
        <v>3</v>
      </c>
      <c r="F83" s="1" t="s">
        <v>369</v>
      </c>
    </row>
    <row r="84" spans="1:6" x14ac:dyDescent="0.25">
      <c r="A84" s="1" t="s">
        <v>229</v>
      </c>
      <c r="B84" s="1" t="str">
        <f>VLOOKUP(A84,key!A:F,4,FALSE)</f>
        <v>control</v>
      </c>
      <c r="C84" s="1">
        <f>VLOOKUP(A84,key!A:F,5,FALSE)</f>
        <v>3</v>
      </c>
      <c r="D84" s="1" t="s">
        <v>151</v>
      </c>
      <c r="E84" s="1">
        <v>3</v>
      </c>
      <c r="F84" s="1" t="s">
        <v>369</v>
      </c>
    </row>
    <row r="85" spans="1:6" x14ac:dyDescent="0.25">
      <c r="A85" s="1" t="s">
        <v>230</v>
      </c>
      <c r="B85" s="1" t="str">
        <f>VLOOKUP(A85,key!A:F,4,FALSE)</f>
        <v>control</v>
      </c>
      <c r="C85" s="1">
        <f>VLOOKUP(A85,key!A:F,5,FALSE)</f>
        <v>3</v>
      </c>
      <c r="D85" s="1" t="s">
        <v>151</v>
      </c>
      <c r="E85" s="1">
        <v>3</v>
      </c>
      <c r="F85" s="1" t="s">
        <v>369</v>
      </c>
    </row>
    <row r="86" spans="1:6" x14ac:dyDescent="0.25">
      <c r="A86" s="1" t="s">
        <v>231</v>
      </c>
      <c r="B86" s="1" t="str">
        <f>VLOOKUP(A86,key!A:F,4,FALSE)</f>
        <v>control</v>
      </c>
      <c r="C86" s="1">
        <f>VLOOKUP(A86,key!A:F,5,FALSE)</f>
        <v>3</v>
      </c>
      <c r="D86" s="1" t="s">
        <v>151</v>
      </c>
      <c r="E86" s="1">
        <v>3</v>
      </c>
      <c r="F86" s="1" t="s">
        <v>369</v>
      </c>
    </row>
    <row r="87" spans="1:6" x14ac:dyDescent="0.25">
      <c r="A87" s="1" t="s">
        <v>232</v>
      </c>
      <c r="B87" s="1" t="str">
        <f>VLOOKUP(A87,key!A:F,4,FALSE)</f>
        <v>control</v>
      </c>
      <c r="C87" s="1">
        <f>VLOOKUP(A87,key!A:F,5,FALSE)</f>
        <v>3</v>
      </c>
      <c r="D87" s="1" t="s">
        <v>151</v>
      </c>
      <c r="E87" s="1">
        <v>3</v>
      </c>
      <c r="F87" s="1" t="s">
        <v>369</v>
      </c>
    </row>
    <row r="88" spans="1:6" x14ac:dyDescent="0.25">
      <c r="A88" s="1" t="s">
        <v>233</v>
      </c>
      <c r="B88" s="1" t="str">
        <f>VLOOKUP(A88,key!A:F,4,FALSE)</f>
        <v>control</v>
      </c>
      <c r="C88" s="1">
        <f>VLOOKUP(A88,key!A:F,5,FALSE)</f>
        <v>3</v>
      </c>
      <c r="D88" s="1" t="s">
        <v>151</v>
      </c>
      <c r="E88" s="1">
        <v>3</v>
      </c>
      <c r="F88" s="1" t="s">
        <v>369</v>
      </c>
    </row>
    <row r="89" spans="1:6" x14ac:dyDescent="0.25">
      <c r="A89" s="1" t="s">
        <v>211</v>
      </c>
      <c r="B89" s="1" t="str">
        <f>VLOOKUP(A89,key!A:F,4,FALSE)</f>
        <v>control</v>
      </c>
      <c r="C89" s="1">
        <f>VLOOKUP(A89,key!A:F,5,FALSE)</f>
        <v>3</v>
      </c>
      <c r="D89" s="1" t="s">
        <v>152</v>
      </c>
      <c r="E89" s="1">
        <v>3</v>
      </c>
      <c r="F89" s="1" t="s">
        <v>369</v>
      </c>
    </row>
    <row r="90" spans="1:6" x14ac:dyDescent="0.25">
      <c r="A90" s="1" t="s">
        <v>212</v>
      </c>
      <c r="B90" s="1" t="str">
        <f>VLOOKUP(A90,key!A:F,4,FALSE)</f>
        <v>control</v>
      </c>
      <c r="C90" s="1">
        <f>VLOOKUP(A90,key!A:F,5,FALSE)</f>
        <v>3</v>
      </c>
      <c r="D90" s="1" t="s">
        <v>152</v>
      </c>
      <c r="E90" s="1">
        <v>3</v>
      </c>
      <c r="F90" s="1" t="s">
        <v>369</v>
      </c>
    </row>
    <row r="91" spans="1:6" x14ac:dyDescent="0.25">
      <c r="A91" s="1" t="s">
        <v>213</v>
      </c>
      <c r="B91" s="1" t="str">
        <f>VLOOKUP(A91,key!A:F,4,FALSE)</f>
        <v>control</v>
      </c>
      <c r="C91" s="1">
        <f>VLOOKUP(A91,key!A:F,5,FALSE)</f>
        <v>3</v>
      </c>
      <c r="D91" s="1" t="s">
        <v>152</v>
      </c>
      <c r="E91" s="1">
        <v>3</v>
      </c>
      <c r="F91" s="1" t="s">
        <v>369</v>
      </c>
    </row>
    <row r="92" spans="1:6" x14ac:dyDescent="0.25">
      <c r="A92" s="1" t="s">
        <v>214</v>
      </c>
      <c r="B92" s="1" t="str">
        <f>VLOOKUP(A92,key!A:F,4,FALSE)</f>
        <v>control</v>
      </c>
      <c r="C92" s="1">
        <f>VLOOKUP(A92,key!A:F,5,FALSE)</f>
        <v>3</v>
      </c>
      <c r="D92" s="1" t="s">
        <v>152</v>
      </c>
      <c r="E92" s="1">
        <v>3</v>
      </c>
      <c r="F92" s="1" t="s">
        <v>369</v>
      </c>
    </row>
    <row r="93" spans="1:6" x14ac:dyDescent="0.25">
      <c r="A93" s="1" t="s">
        <v>215</v>
      </c>
      <c r="B93" s="1" t="str">
        <f>VLOOKUP(A93,key!A:F,4,FALSE)</f>
        <v>control</v>
      </c>
      <c r="C93" s="1">
        <f>VLOOKUP(A93,key!A:F,5,FALSE)</f>
        <v>3</v>
      </c>
      <c r="D93" s="1" t="s">
        <v>152</v>
      </c>
      <c r="E93" s="1">
        <v>3</v>
      </c>
      <c r="F93" s="1" t="s">
        <v>369</v>
      </c>
    </row>
    <row r="94" spans="1:6" x14ac:dyDescent="0.25">
      <c r="A94" s="1" t="s">
        <v>216</v>
      </c>
      <c r="B94" s="1" t="str">
        <f>VLOOKUP(A94,key!A:F,4,FALSE)</f>
        <v>control</v>
      </c>
      <c r="C94" s="1">
        <f>VLOOKUP(A94,key!A:F,5,FALSE)</f>
        <v>3</v>
      </c>
      <c r="D94" s="1" t="s">
        <v>152</v>
      </c>
      <c r="E94" s="1">
        <v>3</v>
      </c>
      <c r="F94" s="1" t="s">
        <v>369</v>
      </c>
    </row>
    <row r="95" spans="1:6" x14ac:dyDescent="0.25">
      <c r="A95" s="1" t="s">
        <v>217</v>
      </c>
      <c r="B95" s="1" t="str">
        <f>VLOOKUP(A95,key!A:F,4,FALSE)</f>
        <v>control</v>
      </c>
      <c r="C95" s="1">
        <f>VLOOKUP(A95,key!A:F,5,FALSE)</f>
        <v>3</v>
      </c>
      <c r="D95" s="1" t="s">
        <v>152</v>
      </c>
      <c r="E95" s="1">
        <v>3</v>
      </c>
      <c r="F95" s="1" t="s">
        <v>369</v>
      </c>
    </row>
    <row r="96" spans="1:6" x14ac:dyDescent="0.25">
      <c r="A96" s="1" t="s">
        <v>218</v>
      </c>
      <c r="B96" s="1" t="str">
        <f>VLOOKUP(A96,key!A:F,4,FALSE)</f>
        <v>control</v>
      </c>
      <c r="C96" s="1">
        <f>VLOOKUP(A96,key!A:F,5,FALSE)</f>
        <v>3</v>
      </c>
      <c r="D96" s="1" t="s">
        <v>152</v>
      </c>
      <c r="E96" s="1">
        <v>3</v>
      </c>
      <c r="F96" s="1" t="s">
        <v>369</v>
      </c>
    </row>
    <row r="97" spans="1:6" x14ac:dyDescent="0.25">
      <c r="A97" s="1" t="s">
        <v>219</v>
      </c>
      <c r="B97" s="1" t="str">
        <f>VLOOKUP(A97,key!A:F,4,FALSE)</f>
        <v>control</v>
      </c>
      <c r="C97" s="1">
        <f>VLOOKUP(A97,key!A:F,5,FALSE)</f>
        <v>3</v>
      </c>
      <c r="D97" s="1" t="s">
        <v>152</v>
      </c>
      <c r="E97" s="1">
        <v>3</v>
      </c>
      <c r="F97" s="1" t="s">
        <v>369</v>
      </c>
    </row>
    <row r="98" spans="1:6" x14ac:dyDescent="0.25">
      <c r="A98" s="1" t="s">
        <v>220</v>
      </c>
      <c r="B98" s="1" t="str">
        <f>VLOOKUP(A98,key!A:F,4,FALSE)</f>
        <v>control</v>
      </c>
      <c r="C98" s="1">
        <f>VLOOKUP(A98,key!A:F,5,FALSE)</f>
        <v>3</v>
      </c>
      <c r="D98" s="1" t="s">
        <v>152</v>
      </c>
      <c r="E98" s="1">
        <v>3</v>
      </c>
      <c r="F98" s="1" t="s">
        <v>369</v>
      </c>
    </row>
    <row r="99" spans="1:6" x14ac:dyDescent="0.25">
      <c r="A99" s="1" t="s">
        <v>181</v>
      </c>
      <c r="B99" s="1" t="str">
        <f>VLOOKUP(A99,key!A:F,4,FALSE)</f>
        <v>DO</v>
      </c>
      <c r="C99" s="1">
        <f>VLOOKUP(A99,key!A:F,5,FALSE)</f>
        <v>3</v>
      </c>
      <c r="D99" s="1" t="s">
        <v>152</v>
      </c>
      <c r="E99" s="1">
        <v>3</v>
      </c>
      <c r="F99" s="1" t="s">
        <v>369</v>
      </c>
    </row>
    <row r="100" spans="1:6" x14ac:dyDescent="0.25">
      <c r="A100" s="1" t="s">
        <v>190</v>
      </c>
      <c r="B100" s="1" t="str">
        <f>VLOOKUP(A100,key!A:F,4,FALSE)</f>
        <v>OA</v>
      </c>
      <c r="C100" s="1">
        <f>VLOOKUP(A100,key!A:F,5,FALSE)</f>
        <v>3</v>
      </c>
      <c r="D100" s="1" t="s">
        <v>152</v>
      </c>
      <c r="E100" s="1">
        <v>3</v>
      </c>
      <c r="F100" s="1" t="s">
        <v>369</v>
      </c>
    </row>
    <row r="101" spans="1:6" x14ac:dyDescent="0.25">
      <c r="A101" s="1" t="s">
        <v>196</v>
      </c>
      <c r="B101" s="1" t="str">
        <f>VLOOKUP(A101,key!A:F,4,FALSE)</f>
        <v>OA</v>
      </c>
      <c r="C101" s="1">
        <f>VLOOKUP(A101,key!A:F,5,FALSE)</f>
        <v>3</v>
      </c>
      <c r="D101" s="1" t="s">
        <v>152</v>
      </c>
      <c r="E101" s="1">
        <v>3</v>
      </c>
      <c r="F101" s="1" t="s">
        <v>369</v>
      </c>
    </row>
    <row r="102" spans="1:6" x14ac:dyDescent="0.25">
      <c r="A102" s="1" t="s">
        <v>175</v>
      </c>
      <c r="B102" s="1" t="str">
        <f>VLOOKUP(A102,key!A:F,4,FALSE)</f>
        <v>OW</v>
      </c>
      <c r="C102" s="1">
        <f>VLOOKUP(A102,key!A:F,5,FALSE)</f>
        <v>3</v>
      </c>
      <c r="D102" s="1" t="s">
        <v>151</v>
      </c>
      <c r="E102" s="1">
        <v>3</v>
      </c>
      <c r="F102" s="1" t="s">
        <v>369</v>
      </c>
    </row>
    <row r="103" spans="1:6" x14ac:dyDescent="0.25">
      <c r="A103" s="1" t="s">
        <v>204</v>
      </c>
      <c r="B103" s="1" t="str">
        <f>VLOOKUP(A103,key!A:F,4,FALSE)</f>
        <v>OW</v>
      </c>
      <c r="C103" s="1">
        <f>VLOOKUP(A103,key!A:F,5,FALSE)</f>
        <v>3</v>
      </c>
      <c r="D103" s="1" t="s">
        <v>151</v>
      </c>
      <c r="E103" s="1">
        <v>3</v>
      </c>
      <c r="F103" s="1" t="s">
        <v>369</v>
      </c>
    </row>
    <row r="104" spans="1:6" x14ac:dyDescent="0.25">
      <c r="A104" s="1" t="s">
        <v>205</v>
      </c>
      <c r="B104" s="1" t="str">
        <f>VLOOKUP(A104,key!A:F,4,FALSE)</f>
        <v>OW</v>
      </c>
      <c r="C104" s="1">
        <f>VLOOKUP(A104,key!A:F,5,FALSE)</f>
        <v>3</v>
      </c>
      <c r="D104" s="1" t="s">
        <v>151</v>
      </c>
      <c r="E104" s="1">
        <v>3</v>
      </c>
      <c r="F104" s="1" t="s">
        <v>369</v>
      </c>
    </row>
    <row r="105" spans="1:6" x14ac:dyDescent="0.25">
      <c r="A105" s="1" t="s">
        <v>206</v>
      </c>
      <c r="B105" s="1" t="str">
        <f>VLOOKUP(A105,key!A:F,4,FALSE)</f>
        <v>OW</v>
      </c>
      <c r="C105" s="1">
        <f>VLOOKUP(A105,key!A:F,5,FALSE)</f>
        <v>3</v>
      </c>
      <c r="D105" s="1" t="s">
        <v>151</v>
      </c>
      <c r="E105" s="1">
        <v>3</v>
      </c>
      <c r="F105" s="1" t="s">
        <v>369</v>
      </c>
    </row>
    <row r="106" spans="1:6" x14ac:dyDescent="0.25">
      <c r="A106" s="1" t="s">
        <v>207</v>
      </c>
      <c r="B106" s="1" t="str">
        <f>VLOOKUP(A106,key!A:F,4,FALSE)</f>
        <v>OW</v>
      </c>
      <c r="C106" s="1">
        <f>VLOOKUP(A106,key!A:F,5,FALSE)</f>
        <v>3</v>
      </c>
      <c r="D106" s="1" t="s">
        <v>151</v>
      </c>
      <c r="E106" s="1">
        <v>3</v>
      </c>
      <c r="F106" s="1" t="s">
        <v>369</v>
      </c>
    </row>
    <row r="107" spans="1:6" x14ac:dyDescent="0.25">
      <c r="A107" s="1" t="s">
        <v>208</v>
      </c>
      <c r="B107" s="1" t="str">
        <f>VLOOKUP(A107,key!A:F,4,FALSE)</f>
        <v>OW</v>
      </c>
      <c r="C107" s="1">
        <f>VLOOKUP(A107,key!A:F,5,FALSE)</f>
        <v>3</v>
      </c>
      <c r="D107" s="1" t="s">
        <v>151</v>
      </c>
      <c r="E107" s="1">
        <v>3</v>
      </c>
      <c r="F107" s="1" t="s">
        <v>369</v>
      </c>
    </row>
    <row r="108" spans="1:6" x14ac:dyDescent="0.25">
      <c r="A108" s="1" t="s">
        <v>201</v>
      </c>
      <c r="B108" s="1" t="str">
        <f>VLOOKUP(A108,key!A:F,4,FALSE)</f>
        <v>OA</v>
      </c>
      <c r="C108" s="1">
        <f>VLOOKUP(A108,key!A:F,5,FALSE)</f>
        <v>3</v>
      </c>
      <c r="D108" s="1" t="s">
        <v>151</v>
      </c>
      <c r="E108" s="1">
        <v>3</v>
      </c>
      <c r="F108" s="1" t="s">
        <v>369</v>
      </c>
    </row>
    <row r="109" spans="1:6" x14ac:dyDescent="0.25">
      <c r="A109" s="1" t="s">
        <v>202</v>
      </c>
      <c r="B109" s="1" t="str">
        <f>VLOOKUP(A109,key!A:F,4,FALSE)</f>
        <v>OA</v>
      </c>
      <c r="C109" s="1">
        <f>VLOOKUP(A109,key!A:F,5,FALSE)</f>
        <v>3</v>
      </c>
      <c r="D109" s="1" t="s">
        <v>151</v>
      </c>
      <c r="E109" s="1">
        <v>3</v>
      </c>
      <c r="F109" s="1" t="s">
        <v>369</v>
      </c>
    </row>
    <row r="110" spans="1:6" x14ac:dyDescent="0.25">
      <c r="A110" s="1" t="s">
        <v>203</v>
      </c>
      <c r="B110" s="1" t="str">
        <f>VLOOKUP(A110,key!A:F,4,FALSE)</f>
        <v>OA</v>
      </c>
      <c r="C110" s="1">
        <f>VLOOKUP(A110,key!A:F,5,FALSE)</f>
        <v>3</v>
      </c>
      <c r="D110" s="1" t="s">
        <v>151</v>
      </c>
      <c r="E110" s="1">
        <v>3</v>
      </c>
      <c r="F110" s="1" t="s">
        <v>369</v>
      </c>
    </row>
    <row r="111" spans="1:6" x14ac:dyDescent="0.25">
      <c r="A111" s="1" t="s">
        <v>234</v>
      </c>
      <c r="B111" s="1" t="str">
        <f>VLOOKUP(A111,key!A:F,4,FALSE)</f>
        <v>control</v>
      </c>
      <c r="C111" s="1">
        <f>VLOOKUP(A111,key!A:F,5,FALSE)</f>
        <v>3</v>
      </c>
      <c r="D111" s="1" t="s">
        <v>151</v>
      </c>
      <c r="E111" s="1">
        <v>3</v>
      </c>
      <c r="F111" s="1" t="s">
        <v>369</v>
      </c>
    </row>
    <row r="112" spans="1:6" x14ac:dyDescent="0.25">
      <c r="A112" s="1" t="s">
        <v>235</v>
      </c>
      <c r="B112" s="1" t="str">
        <f>VLOOKUP(A112,key!A:F,4,FALSE)</f>
        <v>control</v>
      </c>
      <c r="C112" s="1">
        <f>VLOOKUP(A112,key!A:F,5,FALSE)</f>
        <v>3</v>
      </c>
      <c r="D112" s="1" t="s">
        <v>151</v>
      </c>
      <c r="E112" s="1">
        <v>3</v>
      </c>
      <c r="F112" s="1" t="s">
        <v>369</v>
      </c>
    </row>
    <row r="113" spans="1:6" x14ac:dyDescent="0.25">
      <c r="A113" s="1" t="s">
        <v>221</v>
      </c>
      <c r="B113" s="1" t="str">
        <f>VLOOKUP(A113,key!A:F,4,FALSE)</f>
        <v>control</v>
      </c>
      <c r="C113" s="1">
        <f>VLOOKUP(A113,key!A:F,5,FALSE)</f>
        <v>3</v>
      </c>
      <c r="D113" s="1" t="s">
        <v>152</v>
      </c>
      <c r="E113" s="1">
        <v>3</v>
      </c>
      <c r="F113" s="1" t="s">
        <v>369</v>
      </c>
    </row>
    <row r="114" spans="1:6" x14ac:dyDescent="0.25">
      <c r="A114" s="1" t="s">
        <v>222</v>
      </c>
      <c r="B114" s="1" t="str">
        <f>VLOOKUP(A114,key!A:F,4,FALSE)</f>
        <v>control</v>
      </c>
      <c r="C114" s="1">
        <f>VLOOKUP(A114,key!A:F,5,FALSE)</f>
        <v>3</v>
      </c>
      <c r="D114" s="1" t="s">
        <v>152</v>
      </c>
      <c r="E114" s="1">
        <v>3</v>
      </c>
      <c r="F114" s="1" t="s">
        <v>369</v>
      </c>
    </row>
    <row r="115" spans="1:6" x14ac:dyDescent="0.25">
      <c r="A115" s="1" t="s">
        <v>94</v>
      </c>
      <c r="B115" s="1" t="str">
        <f>VLOOKUP(A115,key!A:F,4,FALSE)</f>
        <v>DO</v>
      </c>
      <c r="C115" s="1">
        <f>VLOOKUP(A115,key!A:F,5,FALSE)</f>
        <v>3</v>
      </c>
      <c r="D115" s="1" t="s">
        <v>151</v>
      </c>
      <c r="E115" s="1">
        <v>3</v>
      </c>
      <c r="F115" s="1" t="s">
        <v>369</v>
      </c>
    </row>
    <row r="116" spans="1:6" x14ac:dyDescent="0.25">
      <c r="A116" s="1" t="s">
        <v>97</v>
      </c>
      <c r="B116" s="1" t="str">
        <f>VLOOKUP(A116,key!A:F,4,FALSE)</f>
        <v>DO</v>
      </c>
      <c r="C116" s="1">
        <f>VLOOKUP(A116,key!A:F,5,FALSE)</f>
        <v>3</v>
      </c>
      <c r="D116" s="1" t="s">
        <v>151</v>
      </c>
      <c r="E116" s="1">
        <v>3</v>
      </c>
      <c r="F116" s="1" t="s">
        <v>369</v>
      </c>
    </row>
    <row r="117" spans="1:6" x14ac:dyDescent="0.25">
      <c r="A117" s="1" t="s">
        <v>98</v>
      </c>
      <c r="B117" s="1" t="str">
        <f>VLOOKUP(A117,key!A:F,4,FALSE)</f>
        <v>DO</v>
      </c>
      <c r="C117" s="1">
        <f>VLOOKUP(A117,key!A:F,5,FALSE)</f>
        <v>3</v>
      </c>
      <c r="D117" s="1" t="s">
        <v>151</v>
      </c>
      <c r="E117" s="1">
        <v>3</v>
      </c>
      <c r="F117" s="1" t="s">
        <v>369</v>
      </c>
    </row>
    <row r="118" spans="1:6" x14ac:dyDescent="0.25">
      <c r="A118" s="1" t="s">
        <v>99</v>
      </c>
      <c r="B118" s="1" t="str">
        <f>VLOOKUP(A118,key!A:F,4,FALSE)</f>
        <v>DO</v>
      </c>
      <c r="C118" s="1">
        <f>VLOOKUP(A118,key!A:F,5,FALSE)</f>
        <v>3</v>
      </c>
      <c r="D118" s="1" t="s">
        <v>151</v>
      </c>
      <c r="E118" s="1">
        <v>3</v>
      </c>
      <c r="F118" s="1" t="s">
        <v>369</v>
      </c>
    </row>
    <row r="119" spans="1:6" x14ac:dyDescent="0.25">
      <c r="A119" s="1" t="s">
        <v>100</v>
      </c>
      <c r="B119" s="1" t="str">
        <f>VLOOKUP(A119,key!A:F,4,FALSE)</f>
        <v>DO</v>
      </c>
      <c r="C119" s="1">
        <f>VLOOKUP(A119,key!A:F,5,FALSE)</f>
        <v>3</v>
      </c>
      <c r="D119" s="1" t="s">
        <v>151</v>
      </c>
      <c r="E119" s="1">
        <v>3</v>
      </c>
      <c r="F119" s="1" t="s">
        <v>369</v>
      </c>
    </row>
    <row r="120" spans="1:6" x14ac:dyDescent="0.25">
      <c r="A120" s="1" t="s">
        <v>191</v>
      </c>
      <c r="B120" s="1" t="str">
        <f>VLOOKUP(A120,key!A:F,4,FALSE)</f>
        <v>DO</v>
      </c>
      <c r="C120" s="1">
        <f>VLOOKUP(A120,key!A:F,5,FALSE)</f>
        <v>3</v>
      </c>
      <c r="D120" s="1" t="s">
        <v>151</v>
      </c>
      <c r="E120" s="1">
        <v>3</v>
      </c>
      <c r="F120" s="1" t="s">
        <v>369</v>
      </c>
    </row>
    <row r="121" spans="1:6" x14ac:dyDescent="0.25">
      <c r="A121" s="1" t="s">
        <v>192</v>
      </c>
      <c r="B121" s="1" t="str">
        <f>VLOOKUP(A121,key!A:F,4,FALSE)</f>
        <v>DO</v>
      </c>
      <c r="C121" s="1">
        <f>VLOOKUP(A121,key!A:F,5,FALSE)</f>
        <v>3</v>
      </c>
      <c r="D121" s="1" t="s">
        <v>151</v>
      </c>
      <c r="E121" s="1">
        <v>3</v>
      </c>
      <c r="F121" s="1" t="s">
        <v>369</v>
      </c>
    </row>
    <row r="122" spans="1:6" x14ac:dyDescent="0.25">
      <c r="A122" s="1" t="s">
        <v>193</v>
      </c>
      <c r="B122" s="1" t="str">
        <f>VLOOKUP(A122,key!A:F,4,FALSE)</f>
        <v>DO</v>
      </c>
      <c r="C122" s="1">
        <f>VLOOKUP(A122,key!A:F,5,FALSE)</f>
        <v>3</v>
      </c>
      <c r="D122" s="1" t="s">
        <v>151</v>
      </c>
      <c r="E122" s="1">
        <v>3</v>
      </c>
      <c r="F122" s="1" t="s">
        <v>369</v>
      </c>
    </row>
    <row r="123" spans="1:6" x14ac:dyDescent="0.25">
      <c r="A123" s="1" t="s">
        <v>194</v>
      </c>
      <c r="B123" s="1" t="str">
        <f>VLOOKUP(A123,key!A:F,4,FALSE)</f>
        <v>DO</v>
      </c>
      <c r="C123" s="1">
        <f>VLOOKUP(A123,key!A:F,5,FALSE)</f>
        <v>3</v>
      </c>
      <c r="D123" s="1" t="s">
        <v>151</v>
      </c>
      <c r="E123" s="1">
        <v>3</v>
      </c>
      <c r="F123" s="1" t="s">
        <v>369</v>
      </c>
    </row>
    <row r="124" spans="1:6" x14ac:dyDescent="0.25">
      <c r="A124" s="1" t="s">
        <v>195</v>
      </c>
      <c r="B124" s="1" t="str">
        <f>VLOOKUP(A124,key!A:F,4,FALSE)</f>
        <v>DO</v>
      </c>
      <c r="C124" s="1">
        <f>VLOOKUP(A124,key!A:F,5,FALSE)</f>
        <v>3</v>
      </c>
      <c r="D124" s="1" t="s">
        <v>151</v>
      </c>
      <c r="E124" s="1">
        <v>3</v>
      </c>
      <c r="F124" s="1" t="s">
        <v>369</v>
      </c>
    </row>
    <row r="125" spans="1:6" x14ac:dyDescent="0.25">
      <c r="A125" s="1" t="s">
        <v>182</v>
      </c>
      <c r="B125" s="1" t="str">
        <f>VLOOKUP(A125,key!A:F,4,FALSE)</f>
        <v>DO</v>
      </c>
      <c r="C125" s="1">
        <f>VLOOKUP(A125,key!A:F,5,FALSE)</f>
        <v>3</v>
      </c>
      <c r="D125" s="1" t="s">
        <v>152</v>
      </c>
      <c r="E125" s="1">
        <v>3</v>
      </c>
      <c r="F125" s="1" t="s">
        <v>369</v>
      </c>
    </row>
    <row r="126" spans="1:6" x14ac:dyDescent="0.25">
      <c r="A126" s="1" t="s">
        <v>183</v>
      </c>
      <c r="B126" s="1" t="str">
        <f>VLOOKUP(A126,key!A:F,4,FALSE)</f>
        <v>DO</v>
      </c>
      <c r="C126" s="1">
        <f>VLOOKUP(A126,key!A:F,5,FALSE)</f>
        <v>3</v>
      </c>
      <c r="D126" s="1" t="s">
        <v>152</v>
      </c>
      <c r="E126" s="1">
        <v>3</v>
      </c>
      <c r="F126" s="1" t="s">
        <v>369</v>
      </c>
    </row>
    <row r="127" spans="1:6" x14ac:dyDescent="0.25">
      <c r="B127" s="1"/>
      <c r="C127" s="1"/>
    </row>
    <row r="128" spans="1:6" x14ac:dyDescent="0.25">
      <c r="B128" s="1"/>
      <c r="C128" s="1"/>
    </row>
    <row r="129" spans="2:6" x14ac:dyDescent="0.25">
      <c r="B129" s="1"/>
      <c r="C129" s="1"/>
    </row>
    <row r="130" spans="2:6" x14ac:dyDescent="0.25">
      <c r="B130" s="1"/>
      <c r="C130" s="1"/>
    </row>
    <row r="131" spans="2:6" x14ac:dyDescent="0.25">
      <c r="B131" s="1"/>
      <c r="C131" s="1"/>
    </row>
    <row r="132" spans="2:6" x14ac:dyDescent="0.25">
      <c r="B132" s="1"/>
      <c r="C132" s="1"/>
    </row>
    <row r="133" spans="2:6" x14ac:dyDescent="0.25">
      <c r="B133" s="1"/>
      <c r="C133" s="1"/>
    </row>
    <row r="134" spans="2:6" x14ac:dyDescent="0.25">
      <c r="B134" s="1"/>
      <c r="C134" s="1"/>
    </row>
    <row r="135" spans="2:6" x14ac:dyDescent="0.25">
      <c r="B135" s="1"/>
      <c r="C135" s="1"/>
    </row>
    <row r="136" spans="2:6" x14ac:dyDescent="0.25">
      <c r="B136" s="1"/>
      <c r="C136" s="1"/>
    </row>
    <row r="137" spans="2:6" x14ac:dyDescent="0.25">
      <c r="B137" s="1"/>
      <c r="C137" s="1"/>
    </row>
    <row r="138" spans="2:6" x14ac:dyDescent="0.25">
      <c r="F138" s="1"/>
    </row>
  </sheetData>
  <autoFilter ref="A1:F137" xr:uid="{03480BF9-56AD-461F-8408-B776CEE69F73}">
    <sortState xmlns:xlrd2="http://schemas.microsoft.com/office/spreadsheetml/2017/richdata2" ref="A2:F137">
      <sortCondition ref="F1:F137"/>
    </sortState>
  </autoFilter>
  <sortState xmlns:xlrd2="http://schemas.microsoft.com/office/spreadsheetml/2017/richdata2" ref="A2:F138">
    <sortCondition ref="F2:F138"/>
  </sortState>
  <phoneticPr fontId="1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34A5-1224-4B47-B984-390CB8C13C54}">
  <dimension ref="A1:O133"/>
  <sheetViews>
    <sheetView workbookViewId="0">
      <selection activeCell="D11" sqref="D11"/>
    </sheetView>
  </sheetViews>
  <sheetFormatPr defaultRowHeight="15" x14ac:dyDescent="0.25"/>
  <cols>
    <col min="1" max="1" width="10.7109375" bestFit="1" customWidth="1"/>
    <col min="2" max="2" width="10.42578125" bestFit="1" customWidth="1"/>
    <col min="5" max="5" width="11.28515625" bestFit="1" customWidth="1"/>
    <col min="6" max="7" width="11.28515625" customWidth="1"/>
    <col min="8" max="8" width="13.140625" bestFit="1" customWidth="1"/>
  </cols>
  <sheetData>
    <row r="1" spans="1:15" x14ac:dyDescent="0.25">
      <c r="A1" s="5" t="s">
        <v>150</v>
      </c>
      <c r="B1" s="5" t="s">
        <v>372</v>
      </c>
      <c r="C1" s="5" t="s">
        <v>521</v>
      </c>
      <c r="D1" s="5" t="s">
        <v>376</v>
      </c>
      <c r="E1" s="5" t="s">
        <v>522</v>
      </c>
      <c r="F1" s="5" t="s">
        <v>523</v>
      </c>
      <c r="G1" s="5" t="s">
        <v>136</v>
      </c>
      <c r="H1" s="5" t="s">
        <v>524</v>
      </c>
      <c r="I1" s="5" t="s">
        <v>373</v>
      </c>
      <c r="J1" s="6" t="s">
        <v>374</v>
      </c>
      <c r="K1" s="6" t="s">
        <v>375</v>
      </c>
      <c r="L1" s="5" t="s">
        <v>377</v>
      </c>
      <c r="M1" s="5" t="s">
        <v>378</v>
      </c>
      <c r="N1" s="5" t="s">
        <v>379</v>
      </c>
      <c r="O1" s="5" t="s">
        <v>380</v>
      </c>
    </row>
    <row r="2" spans="1:15" x14ac:dyDescent="0.25">
      <c r="A2" s="7" t="s">
        <v>381</v>
      </c>
      <c r="B2" s="7" t="s">
        <v>382</v>
      </c>
      <c r="C2" s="7" t="s">
        <v>18</v>
      </c>
      <c r="D2" s="7" t="s">
        <v>371</v>
      </c>
      <c r="E2" s="5" t="s">
        <v>383</v>
      </c>
      <c r="F2" s="5" t="str">
        <f>VLOOKUP(C2,key!A:P,4,FALSE)</f>
        <v>control</v>
      </c>
      <c r="G2" s="5">
        <f>VLOOKUP(C2,key!A:P,5,FALSE)</f>
        <v>0</v>
      </c>
      <c r="H2" s="5">
        <f>VLOOKUP(C2,key!A:N,14,FALSE)</f>
        <v>0</v>
      </c>
      <c r="I2" s="5">
        <v>122</v>
      </c>
      <c r="J2" s="5">
        <v>200</v>
      </c>
      <c r="K2" s="5">
        <f t="shared" ref="K2:K133" si="0">I2*J2</f>
        <v>24400</v>
      </c>
      <c r="L2" s="8" t="str">
        <f t="shared" ref="L2:L25" si="1">HYPERLINK("https://robertslab.github.io/sams-notebook/2021/12/22/RNA-Isolation-M.trossulus-Foot-and-Phenol-Gland.html", "20211222")</f>
        <v>20211222</v>
      </c>
      <c r="M2" s="8" t="str">
        <f t="shared" ref="M2:M68" si="2">HYPERLINK("https://docs.google.com/spreadsheets/d/1jL9gOqtcHrm8JPUtZ5KShpX7_olFuci_5Gq7xqgZKIM/edit?usp=sharing", "Sam's RNA Box #2")</f>
        <v>Sam's RNA Box #2</v>
      </c>
      <c r="N2" s="5" t="s">
        <v>384</v>
      </c>
      <c r="O2" s="5" t="s">
        <v>385</v>
      </c>
    </row>
    <row r="3" spans="1:15" x14ac:dyDescent="0.25">
      <c r="A3" s="7" t="s">
        <v>381</v>
      </c>
      <c r="B3" s="7" t="s">
        <v>386</v>
      </c>
      <c r="C3" s="7" t="s">
        <v>19</v>
      </c>
      <c r="D3" s="7" t="s">
        <v>371</v>
      </c>
      <c r="E3" s="5" t="s">
        <v>383</v>
      </c>
      <c r="F3" s="5" t="str">
        <f>VLOOKUP(C3,key!A:P,4,FALSE)</f>
        <v>control</v>
      </c>
      <c r="G3" s="5">
        <f>VLOOKUP(C3,key!A:P,5,FALSE)</f>
        <v>0</v>
      </c>
      <c r="H3" s="5">
        <f>VLOOKUP(C3,key!A:N,14,FALSE)</f>
        <v>0</v>
      </c>
      <c r="I3" s="5">
        <v>166</v>
      </c>
      <c r="J3" s="5">
        <v>50</v>
      </c>
      <c r="K3" s="5">
        <f t="shared" si="0"/>
        <v>8300</v>
      </c>
      <c r="L3" s="8" t="str">
        <f t="shared" si="1"/>
        <v>20211222</v>
      </c>
      <c r="M3" s="8" t="str">
        <f t="shared" si="2"/>
        <v>Sam's RNA Box #2</v>
      </c>
      <c r="N3" s="5" t="s">
        <v>384</v>
      </c>
      <c r="O3" s="5" t="s">
        <v>385</v>
      </c>
    </row>
    <row r="4" spans="1:15" x14ac:dyDescent="0.25">
      <c r="A4" s="7" t="s">
        <v>381</v>
      </c>
      <c r="B4" s="7" t="s">
        <v>387</v>
      </c>
      <c r="C4" s="7" t="s">
        <v>20</v>
      </c>
      <c r="D4" s="7" t="s">
        <v>371</v>
      </c>
      <c r="E4" s="5" t="s">
        <v>383</v>
      </c>
      <c r="F4" s="5" t="str">
        <f>VLOOKUP(C4,key!A:P,4,FALSE)</f>
        <v>control</v>
      </c>
      <c r="G4" s="5">
        <f>VLOOKUP(C4,key!A:P,5,FALSE)</f>
        <v>0</v>
      </c>
      <c r="H4" s="5">
        <f>VLOOKUP(C4,key!A:N,14,FALSE)</f>
        <v>0</v>
      </c>
      <c r="I4" s="5">
        <v>186</v>
      </c>
      <c r="J4" s="5">
        <v>50</v>
      </c>
      <c r="K4" s="5">
        <f t="shared" si="0"/>
        <v>9300</v>
      </c>
      <c r="L4" s="8" t="str">
        <f t="shared" si="1"/>
        <v>20211222</v>
      </c>
      <c r="M4" s="8" t="str">
        <f t="shared" si="2"/>
        <v>Sam's RNA Box #2</v>
      </c>
      <c r="N4" s="5" t="s">
        <v>384</v>
      </c>
      <c r="O4" s="5" t="s">
        <v>385</v>
      </c>
    </row>
    <row r="5" spans="1:15" x14ac:dyDescent="0.25">
      <c r="A5" s="7" t="s">
        <v>381</v>
      </c>
      <c r="B5" s="7" t="s">
        <v>388</v>
      </c>
      <c r="C5" s="7" t="s">
        <v>21</v>
      </c>
      <c r="D5" s="7" t="s">
        <v>371</v>
      </c>
      <c r="E5" s="5" t="s">
        <v>383</v>
      </c>
      <c r="F5" s="5" t="str">
        <f>VLOOKUP(C5,key!A:P,4,FALSE)</f>
        <v>control</v>
      </c>
      <c r="G5" s="5">
        <f>VLOOKUP(C5,key!A:P,5,FALSE)</f>
        <v>0</v>
      </c>
      <c r="H5" s="5">
        <f>VLOOKUP(C5,key!A:N,14,FALSE)</f>
        <v>0</v>
      </c>
      <c r="I5" s="5">
        <v>138</v>
      </c>
      <c r="J5" s="5">
        <v>200</v>
      </c>
      <c r="K5" s="5">
        <f t="shared" si="0"/>
        <v>27600</v>
      </c>
      <c r="L5" s="8" t="str">
        <f t="shared" si="1"/>
        <v>20211222</v>
      </c>
      <c r="M5" s="8" t="str">
        <f t="shared" si="2"/>
        <v>Sam's RNA Box #2</v>
      </c>
      <c r="N5" s="5" t="s">
        <v>384</v>
      </c>
      <c r="O5" s="5" t="s">
        <v>385</v>
      </c>
    </row>
    <row r="6" spans="1:15" x14ac:dyDescent="0.25">
      <c r="A6" s="7" t="s">
        <v>381</v>
      </c>
      <c r="B6" s="7" t="s">
        <v>389</v>
      </c>
      <c r="C6" s="7" t="s">
        <v>22</v>
      </c>
      <c r="D6" s="7" t="s">
        <v>371</v>
      </c>
      <c r="E6" s="5" t="s">
        <v>383</v>
      </c>
      <c r="F6" s="5" t="str">
        <f>VLOOKUP(C6,key!A:P,4,FALSE)</f>
        <v>control</v>
      </c>
      <c r="G6" s="5">
        <f>VLOOKUP(C6,key!A:P,5,FALSE)</f>
        <v>0</v>
      </c>
      <c r="H6" s="5">
        <f>VLOOKUP(C6,key!A:N,14,FALSE)</f>
        <v>0</v>
      </c>
      <c r="I6" s="5">
        <v>136</v>
      </c>
      <c r="J6" s="5">
        <v>200</v>
      </c>
      <c r="K6" s="5">
        <f t="shared" si="0"/>
        <v>27200</v>
      </c>
      <c r="L6" s="8" t="str">
        <f t="shared" si="1"/>
        <v>20211222</v>
      </c>
      <c r="M6" s="8" t="str">
        <f t="shared" si="2"/>
        <v>Sam's RNA Box #2</v>
      </c>
      <c r="N6" s="5" t="s">
        <v>384</v>
      </c>
      <c r="O6" s="5" t="s">
        <v>385</v>
      </c>
    </row>
    <row r="7" spans="1:15" x14ac:dyDescent="0.25">
      <c r="A7" s="7" t="s">
        <v>381</v>
      </c>
      <c r="B7" s="7" t="s">
        <v>390</v>
      </c>
      <c r="C7" s="7" t="s">
        <v>23</v>
      </c>
      <c r="D7" s="7" t="s">
        <v>371</v>
      </c>
      <c r="E7" s="5" t="s">
        <v>383</v>
      </c>
      <c r="F7" s="5" t="str">
        <f>VLOOKUP(C7,key!A:P,4,FALSE)</f>
        <v>control</v>
      </c>
      <c r="G7" s="5">
        <f>VLOOKUP(C7,key!A:P,5,FALSE)</f>
        <v>0</v>
      </c>
      <c r="H7" s="5">
        <f>VLOOKUP(C7,key!A:N,14,FALSE)</f>
        <v>0</v>
      </c>
      <c r="I7" s="5">
        <v>106</v>
      </c>
      <c r="J7" s="5">
        <v>400</v>
      </c>
      <c r="K7" s="5">
        <f t="shared" si="0"/>
        <v>42400</v>
      </c>
      <c r="L7" s="8" t="str">
        <f t="shared" si="1"/>
        <v>20211222</v>
      </c>
      <c r="M7" s="8" t="str">
        <f t="shared" si="2"/>
        <v>Sam's RNA Box #2</v>
      </c>
      <c r="N7" s="5" t="s">
        <v>384</v>
      </c>
      <c r="O7" s="5" t="s">
        <v>385</v>
      </c>
    </row>
    <row r="8" spans="1:15" x14ac:dyDescent="0.25">
      <c r="A8" s="7" t="s">
        <v>381</v>
      </c>
      <c r="B8" s="7" t="s">
        <v>391</v>
      </c>
      <c r="C8" s="7" t="s">
        <v>24</v>
      </c>
      <c r="D8" s="7" t="s">
        <v>371</v>
      </c>
      <c r="E8" s="5" t="s">
        <v>383</v>
      </c>
      <c r="F8" s="5" t="str">
        <f>VLOOKUP(C8,key!A:P,4,FALSE)</f>
        <v>control</v>
      </c>
      <c r="G8" s="5">
        <f>VLOOKUP(C8,key!A:P,5,FALSE)</f>
        <v>0</v>
      </c>
      <c r="H8" s="5">
        <f>VLOOKUP(C8,key!A:N,14,FALSE)</f>
        <v>0</v>
      </c>
      <c r="I8" s="5">
        <v>27.6</v>
      </c>
      <c r="J8" s="5">
        <v>50</v>
      </c>
      <c r="K8" s="5">
        <f t="shared" si="0"/>
        <v>1380</v>
      </c>
      <c r="L8" s="8" t="str">
        <f t="shared" si="1"/>
        <v>20211222</v>
      </c>
      <c r="M8" s="8" t="str">
        <f t="shared" si="2"/>
        <v>Sam's RNA Box #2</v>
      </c>
      <c r="N8" s="5" t="s">
        <v>384</v>
      </c>
      <c r="O8" s="5" t="s">
        <v>385</v>
      </c>
    </row>
    <row r="9" spans="1:15" x14ac:dyDescent="0.25">
      <c r="A9" s="7" t="s">
        <v>381</v>
      </c>
      <c r="B9" s="7" t="s">
        <v>392</v>
      </c>
      <c r="C9" s="7" t="s">
        <v>25</v>
      </c>
      <c r="D9" s="7" t="s">
        <v>371</v>
      </c>
      <c r="E9" s="5" t="s">
        <v>383</v>
      </c>
      <c r="F9" s="5" t="str">
        <f>VLOOKUP(C9,key!A:P,4,FALSE)</f>
        <v>control</v>
      </c>
      <c r="G9" s="5">
        <f>VLOOKUP(C9,key!A:P,5,FALSE)</f>
        <v>0</v>
      </c>
      <c r="H9" s="5">
        <f>VLOOKUP(C9,key!A:N,14,FALSE)</f>
        <v>0</v>
      </c>
      <c r="I9" s="5">
        <v>172</v>
      </c>
      <c r="J9" s="5">
        <v>100</v>
      </c>
      <c r="K9" s="5">
        <f t="shared" si="0"/>
        <v>17200</v>
      </c>
      <c r="L9" s="8" t="str">
        <f t="shared" si="1"/>
        <v>20211222</v>
      </c>
      <c r="M9" s="8" t="str">
        <f t="shared" si="2"/>
        <v>Sam's RNA Box #2</v>
      </c>
      <c r="N9" s="5" t="s">
        <v>384</v>
      </c>
      <c r="O9" s="5" t="s">
        <v>385</v>
      </c>
    </row>
    <row r="10" spans="1:15" x14ac:dyDescent="0.25">
      <c r="A10" s="7" t="s">
        <v>381</v>
      </c>
      <c r="B10" s="7" t="s">
        <v>393</v>
      </c>
      <c r="C10" s="7" t="s">
        <v>26</v>
      </c>
      <c r="D10" s="7" t="s">
        <v>371</v>
      </c>
      <c r="E10" s="5" t="s">
        <v>383</v>
      </c>
      <c r="F10" s="5" t="str">
        <f>VLOOKUP(C10,key!A:P,4,FALSE)</f>
        <v>control</v>
      </c>
      <c r="G10" s="5">
        <f>VLOOKUP(C10,key!A:P,5,FALSE)</f>
        <v>0</v>
      </c>
      <c r="H10" s="5">
        <f>VLOOKUP(C10,key!A:N,14,FALSE)</f>
        <v>0</v>
      </c>
      <c r="I10" s="5">
        <v>174</v>
      </c>
      <c r="J10" s="5">
        <v>200</v>
      </c>
      <c r="K10" s="5">
        <f t="shared" si="0"/>
        <v>34800</v>
      </c>
      <c r="L10" s="8" t="str">
        <f t="shared" si="1"/>
        <v>20211222</v>
      </c>
      <c r="M10" s="8" t="str">
        <f t="shared" si="2"/>
        <v>Sam's RNA Box #2</v>
      </c>
      <c r="N10" s="5" t="s">
        <v>384</v>
      </c>
      <c r="O10" s="5" t="s">
        <v>385</v>
      </c>
    </row>
    <row r="11" spans="1:15" x14ac:dyDescent="0.25">
      <c r="A11" s="7" t="s">
        <v>381</v>
      </c>
      <c r="B11" s="7" t="s">
        <v>394</v>
      </c>
      <c r="C11" s="7" t="s">
        <v>27</v>
      </c>
      <c r="D11" s="7" t="s">
        <v>371</v>
      </c>
      <c r="E11" s="5" t="s">
        <v>383</v>
      </c>
      <c r="F11" s="5" t="str">
        <f>VLOOKUP(C11,key!A:P,4,FALSE)</f>
        <v>control</v>
      </c>
      <c r="G11" s="5">
        <f>VLOOKUP(C11,key!A:P,5,FALSE)</f>
        <v>0</v>
      </c>
      <c r="H11" s="5">
        <f>VLOOKUP(C11,key!A:N,14,FALSE)</f>
        <v>0</v>
      </c>
      <c r="I11" s="5">
        <v>188</v>
      </c>
      <c r="J11" s="5">
        <v>50</v>
      </c>
      <c r="K11" s="5">
        <f t="shared" si="0"/>
        <v>9400</v>
      </c>
      <c r="L11" s="8" t="str">
        <f t="shared" si="1"/>
        <v>20211222</v>
      </c>
      <c r="M11" s="8" t="str">
        <f t="shared" si="2"/>
        <v>Sam's RNA Box #2</v>
      </c>
      <c r="N11" s="5" t="s">
        <v>384</v>
      </c>
      <c r="O11" s="5" t="s">
        <v>385</v>
      </c>
    </row>
    <row r="12" spans="1:15" x14ac:dyDescent="0.25">
      <c r="A12" s="7" t="s">
        <v>381</v>
      </c>
      <c r="B12" s="7" t="s">
        <v>395</v>
      </c>
      <c r="C12" s="7" t="s">
        <v>104</v>
      </c>
      <c r="D12" s="7" t="s">
        <v>371</v>
      </c>
      <c r="E12" s="5" t="s">
        <v>383</v>
      </c>
      <c r="F12" s="5" t="str">
        <f>VLOOKUP(C12,key!A:P,4,FALSE)</f>
        <v>control</v>
      </c>
      <c r="G12" s="5">
        <f>VLOOKUP(C12,key!A:P,5,FALSE)</f>
        <v>0</v>
      </c>
      <c r="H12" s="5">
        <f>VLOOKUP(C12,key!A:N,14,FALSE)</f>
        <v>0</v>
      </c>
      <c r="I12" s="5">
        <v>116</v>
      </c>
      <c r="J12" s="5">
        <v>200</v>
      </c>
      <c r="K12" s="5">
        <f t="shared" si="0"/>
        <v>23200</v>
      </c>
      <c r="L12" s="8" t="str">
        <f t="shared" si="1"/>
        <v>20211222</v>
      </c>
      <c r="M12" s="8" t="str">
        <f t="shared" si="2"/>
        <v>Sam's RNA Box #2</v>
      </c>
      <c r="N12" s="5" t="s">
        <v>384</v>
      </c>
      <c r="O12" s="5" t="s">
        <v>385</v>
      </c>
    </row>
    <row r="13" spans="1:15" x14ac:dyDescent="0.25">
      <c r="A13" s="7" t="s">
        <v>381</v>
      </c>
      <c r="B13" s="7" t="s">
        <v>396</v>
      </c>
      <c r="C13" s="7" t="s">
        <v>105</v>
      </c>
      <c r="D13" s="7" t="s">
        <v>371</v>
      </c>
      <c r="E13" s="5" t="s">
        <v>383</v>
      </c>
      <c r="F13" s="5" t="str">
        <f>VLOOKUP(C13,key!A:P,4,FALSE)</f>
        <v>control</v>
      </c>
      <c r="G13" s="5">
        <f>VLOOKUP(C13,key!A:P,5,FALSE)</f>
        <v>0</v>
      </c>
      <c r="H13" s="5">
        <f>VLOOKUP(C13,key!A:N,14,FALSE)</f>
        <v>0</v>
      </c>
      <c r="I13" s="5">
        <v>132</v>
      </c>
      <c r="J13" s="5">
        <v>200</v>
      </c>
      <c r="K13" s="5">
        <f t="shared" si="0"/>
        <v>26400</v>
      </c>
      <c r="L13" s="8" t="str">
        <f t="shared" si="1"/>
        <v>20211222</v>
      </c>
      <c r="M13" s="8" t="str">
        <f t="shared" si="2"/>
        <v>Sam's RNA Box #2</v>
      </c>
      <c r="N13" s="5" t="s">
        <v>384</v>
      </c>
      <c r="O13" s="5" t="s">
        <v>385</v>
      </c>
    </row>
    <row r="14" spans="1:15" x14ac:dyDescent="0.25">
      <c r="A14" s="7" t="s">
        <v>381</v>
      </c>
      <c r="B14" s="7" t="s">
        <v>397</v>
      </c>
      <c r="C14" s="7" t="s">
        <v>18</v>
      </c>
      <c r="D14" s="7" t="s">
        <v>519</v>
      </c>
      <c r="E14" s="5" t="s">
        <v>398</v>
      </c>
      <c r="F14" s="5" t="str">
        <f>VLOOKUP(C14,key!A:P,4,FALSE)</f>
        <v>control</v>
      </c>
      <c r="G14" s="5">
        <f>VLOOKUP(C14,key!A:P,5,FALSE)</f>
        <v>0</v>
      </c>
      <c r="H14" s="5">
        <f>VLOOKUP(C14,key!A:N,14,FALSE)</f>
        <v>0</v>
      </c>
      <c r="I14" s="9">
        <v>158</v>
      </c>
      <c r="J14" s="5">
        <v>50</v>
      </c>
      <c r="K14" s="5">
        <f t="shared" si="0"/>
        <v>7900</v>
      </c>
      <c r="L14" s="8" t="str">
        <f t="shared" si="1"/>
        <v>20211222</v>
      </c>
      <c r="M14" s="8" t="str">
        <f t="shared" si="2"/>
        <v>Sam's RNA Box #2</v>
      </c>
      <c r="N14" s="5" t="s">
        <v>384</v>
      </c>
      <c r="O14" s="5" t="s">
        <v>385</v>
      </c>
    </row>
    <row r="15" spans="1:15" x14ac:dyDescent="0.25">
      <c r="A15" s="7" t="s">
        <v>381</v>
      </c>
      <c r="B15" s="7" t="s">
        <v>399</v>
      </c>
      <c r="C15" s="7" t="s">
        <v>19</v>
      </c>
      <c r="D15" s="7" t="s">
        <v>519</v>
      </c>
      <c r="E15" s="5" t="s">
        <v>398</v>
      </c>
      <c r="F15" s="5" t="str">
        <f>VLOOKUP(C15,key!A:P,4,FALSE)</f>
        <v>control</v>
      </c>
      <c r="G15" s="5">
        <f>VLOOKUP(C15,key!A:P,5,FALSE)</f>
        <v>0</v>
      </c>
      <c r="H15" s="5">
        <f>VLOOKUP(C15,key!A:N,14,FALSE)</f>
        <v>0</v>
      </c>
      <c r="I15" s="9">
        <v>92</v>
      </c>
      <c r="J15" s="5">
        <v>50</v>
      </c>
      <c r="K15" s="5">
        <f t="shared" si="0"/>
        <v>4600</v>
      </c>
      <c r="L15" s="8" t="str">
        <f t="shared" si="1"/>
        <v>20211222</v>
      </c>
      <c r="M15" s="8" t="str">
        <f t="shared" si="2"/>
        <v>Sam's RNA Box #2</v>
      </c>
      <c r="N15" s="5" t="s">
        <v>384</v>
      </c>
      <c r="O15" s="5" t="s">
        <v>385</v>
      </c>
    </row>
    <row r="16" spans="1:15" x14ac:dyDescent="0.25">
      <c r="A16" s="7" t="s">
        <v>381</v>
      </c>
      <c r="B16" s="7" t="s">
        <v>400</v>
      </c>
      <c r="C16" s="7" t="s">
        <v>20</v>
      </c>
      <c r="D16" s="7" t="s">
        <v>519</v>
      </c>
      <c r="E16" s="5" t="s">
        <v>398</v>
      </c>
      <c r="F16" s="5" t="str">
        <f>VLOOKUP(C16,key!A:P,4,FALSE)</f>
        <v>control</v>
      </c>
      <c r="G16" s="5">
        <f>VLOOKUP(C16,key!A:P,5,FALSE)</f>
        <v>0</v>
      </c>
      <c r="H16" s="5">
        <f>VLOOKUP(C16,key!A:N,14,FALSE)</f>
        <v>0</v>
      </c>
      <c r="I16" s="9">
        <v>70.400000000000006</v>
      </c>
      <c r="J16" s="5">
        <v>50</v>
      </c>
      <c r="K16" s="5">
        <f t="shared" si="0"/>
        <v>3520.0000000000005</v>
      </c>
      <c r="L16" s="8" t="str">
        <f t="shared" si="1"/>
        <v>20211222</v>
      </c>
      <c r="M16" s="8" t="str">
        <f t="shared" si="2"/>
        <v>Sam's RNA Box #2</v>
      </c>
      <c r="N16" s="5" t="s">
        <v>384</v>
      </c>
      <c r="O16" s="5" t="s">
        <v>385</v>
      </c>
    </row>
    <row r="17" spans="1:15" x14ac:dyDescent="0.25">
      <c r="A17" s="7" t="s">
        <v>381</v>
      </c>
      <c r="B17" s="7" t="s">
        <v>401</v>
      </c>
      <c r="C17" s="7" t="s">
        <v>21</v>
      </c>
      <c r="D17" s="7" t="s">
        <v>519</v>
      </c>
      <c r="E17" s="5" t="s">
        <v>398</v>
      </c>
      <c r="F17" s="5" t="str">
        <f>VLOOKUP(C17,key!A:P,4,FALSE)</f>
        <v>control</v>
      </c>
      <c r="G17" s="5">
        <f>VLOOKUP(C17,key!A:P,5,FALSE)</f>
        <v>0</v>
      </c>
      <c r="H17" s="5">
        <f>VLOOKUP(C17,key!A:N,14,FALSE)</f>
        <v>0</v>
      </c>
      <c r="I17" s="9">
        <v>44.4</v>
      </c>
      <c r="J17" s="5">
        <v>50</v>
      </c>
      <c r="K17" s="5">
        <f t="shared" si="0"/>
        <v>2220</v>
      </c>
      <c r="L17" s="8" t="str">
        <f t="shared" si="1"/>
        <v>20211222</v>
      </c>
      <c r="M17" s="8" t="str">
        <f t="shared" si="2"/>
        <v>Sam's RNA Box #2</v>
      </c>
      <c r="N17" s="5" t="s">
        <v>384</v>
      </c>
      <c r="O17" s="5" t="s">
        <v>385</v>
      </c>
    </row>
    <row r="18" spans="1:15" x14ac:dyDescent="0.25">
      <c r="A18" s="7" t="s">
        <v>381</v>
      </c>
      <c r="B18" s="7" t="s">
        <v>402</v>
      </c>
      <c r="C18" s="7" t="s">
        <v>22</v>
      </c>
      <c r="D18" s="7" t="s">
        <v>519</v>
      </c>
      <c r="E18" s="5" t="s">
        <v>398</v>
      </c>
      <c r="F18" s="5" t="str">
        <f>VLOOKUP(C18,key!A:P,4,FALSE)</f>
        <v>control</v>
      </c>
      <c r="G18" s="5">
        <f>VLOOKUP(C18,key!A:P,5,FALSE)</f>
        <v>0</v>
      </c>
      <c r="H18" s="5">
        <f>VLOOKUP(C18,key!A:N,14,FALSE)</f>
        <v>0</v>
      </c>
      <c r="I18" s="9">
        <v>65.8</v>
      </c>
      <c r="J18" s="5">
        <v>50</v>
      </c>
      <c r="K18" s="5">
        <f t="shared" si="0"/>
        <v>3290</v>
      </c>
      <c r="L18" s="8" t="str">
        <f t="shared" si="1"/>
        <v>20211222</v>
      </c>
      <c r="M18" s="8" t="str">
        <f t="shared" si="2"/>
        <v>Sam's RNA Box #2</v>
      </c>
      <c r="N18" s="5" t="s">
        <v>384</v>
      </c>
      <c r="O18" s="5" t="s">
        <v>385</v>
      </c>
    </row>
    <row r="19" spans="1:15" x14ac:dyDescent="0.25">
      <c r="A19" s="7" t="s">
        <v>381</v>
      </c>
      <c r="B19" s="7" t="s">
        <v>403</v>
      </c>
      <c r="C19" s="7" t="s">
        <v>23</v>
      </c>
      <c r="D19" s="7" t="s">
        <v>519</v>
      </c>
      <c r="E19" s="5" t="s">
        <v>398</v>
      </c>
      <c r="F19" s="5" t="str">
        <f>VLOOKUP(C19,key!A:P,4,FALSE)</f>
        <v>control</v>
      </c>
      <c r="G19" s="5">
        <f>VLOOKUP(C19,key!A:P,5,FALSE)</f>
        <v>0</v>
      </c>
      <c r="H19" s="5">
        <f>VLOOKUP(C19,key!A:N,14,FALSE)</f>
        <v>0</v>
      </c>
      <c r="I19" s="9">
        <v>95.2</v>
      </c>
      <c r="J19" s="5">
        <v>50</v>
      </c>
      <c r="K19" s="5">
        <f t="shared" si="0"/>
        <v>4760</v>
      </c>
      <c r="L19" s="8" t="str">
        <f t="shared" si="1"/>
        <v>20211222</v>
      </c>
      <c r="M19" s="8" t="str">
        <f t="shared" si="2"/>
        <v>Sam's RNA Box #2</v>
      </c>
      <c r="N19" s="5" t="s">
        <v>384</v>
      </c>
      <c r="O19" s="5" t="s">
        <v>385</v>
      </c>
    </row>
    <row r="20" spans="1:15" x14ac:dyDescent="0.25">
      <c r="A20" s="7" t="s">
        <v>381</v>
      </c>
      <c r="B20" s="7" t="s">
        <v>404</v>
      </c>
      <c r="C20" s="7" t="s">
        <v>24</v>
      </c>
      <c r="D20" s="7" t="s">
        <v>519</v>
      </c>
      <c r="E20" s="5" t="s">
        <v>398</v>
      </c>
      <c r="F20" s="5" t="str">
        <f>VLOOKUP(C20,key!A:P,4,FALSE)</f>
        <v>control</v>
      </c>
      <c r="G20" s="5">
        <f>VLOOKUP(C20,key!A:P,5,FALSE)</f>
        <v>0</v>
      </c>
      <c r="H20" s="5">
        <f>VLOOKUP(C20,key!A:N,14,FALSE)</f>
        <v>0</v>
      </c>
      <c r="I20" s="5">
        <v>146</v>
      </c>
      <c r="J20" s="5">
        <v>100</v>
      </c>
      <c r="K20" s="5">
        <f t="shared" si="0"/>
        <v>14600</v>
      </c>
      <c r="L20" s="8" t="str">
        <f t="shared" si="1"/>
        <v>20211222</v>
      </c>
      <c r="M20" s="8" t="str">
        <f t="shared" si="2"/>
        <v>Sam's RNA Box #2</v>
      </c>
      <c r="N20" s="5" t="s">
        <v>384</v>
      </c>
      <c r="O20" s="5" t="s">
        <v>385</v>
      </c>
    </row>
    <row r="21" spans="1:15" x14ac:dyDescent="0.25">
      <c r="A21" s="7" t="s">
        <v>381</v>
      </c>
      <c r="B21" s="7" t="s">
        <v>405</v>
      </c>
      <c r="C21" s="7" t="s">
        <v>25</v>
      </c>
      <c r="D21" s="7" t="s">
        <v>519</v>
      </c>
      <c r="E21" s="5" t="s">
        <v>398</v>
      </c>
      <c r="F21" s="5" t="str">
        <f>VLOOKUP(C21,key!A:P,4,FALSE)</f>
        <v>control</v>
      </c>
      <c r="G21" s="5">
        <f>VLOOKUP(C21,key!A:P,5,FALSE)</f>
        <v>0</v>
      </c>
      <c r="H21" s="5">
        <f>VLOOKUP(C21,key!A:N,14,FALSE)</f>
        <v>0</v>
      </c>
      <c r="I21" s="9">
        <v>66.400000000000006</v>
      </c>
      <c r="J21" s="5">
        <v>50</v>
      </c>
      <c r="K21" s="5">
        <f t="shared" si="0"/>
        <v>3320.0000000000005</v>
      </c>
      <c r="L21" s="8" t="str">
        <f t="shared" si="1"/>
        <v>20211222</v>
      </c>
      <c r="M21" s="8" t="str">
        <f t="shared" si="2"/>
        <v>Sam's RNA Box #2</v>
      </c>
      <c r="N21" s="5" t="s">
        <v>384</v>
      </c>
      <c r="O21" s="5" t="s">
        <v>385</v>
      </c>
    </row>
    <row r="22" spans="1:15" x14ac:dyDescent="0.25">
      <c r="A22" s="7" t="s">
        <v>381</v>
      </c>
      <c r="B22" s="7" t="s">
        <v>406</v>
      </c>
      <c r="C22" s="7" t="s">
        <v>26</v>
      </c>
      <c r="D22" s="7" t="s">
        <v>519</v>
      </c>
      <c r="E22" s="5" t="s">
        <v>398</v>
      </c>
      <c r="F22" s="5" t="str">
        <f>VLOOKUP(C22,key!A:P,4,FALSE)</f>
        <v>control</v>
      </c>
      <c r="G22" s="5">
        <f>VLOOKUP(C22,key!A:P,5,FALSE)</f>
        <v>0</v>
      </c>
      <c r="H22" s="5">
        <f>VLOOKUP(C22,key!A:N,14,FALSE)</f>
        <v>0</v>
      </c>
      <c r="I22" s="9">
        <v>114</v>
      </c>
      <c r="J22" s="5">
        <v>50</v>
      </c>
      <c r="K22" s="5">
        <f t="shared" si="0"/>
        <v>5700</v>
      </c>
      <c r="L22" s="8" t="str">
        <f t="shared" si="1"/>
        <v>20211222</v>
      </c>
      <c r="M22" s="8" t="str">
        <f t="shared" si="2"/>
        <v>Sam's RNA Box #2</v>
      </c>
      <c r="N22" s="5" t="s">
        <v>384</v>
      </c>
      <c r="O22" s="5" t="s">
        <v>385</v>
      </c>
    </row>
    <row r="23" spans="1:15" x14ac:dyDescent="0.25">
      <c r="A23" s="7" t="s">
        <v>381</v>
      </c>
      <c r="B23" s="7" t="s">
        <v>407</v>
      </c>
      <c r="C23" s="7" t="s">
        <v>27</v>
      </c>
      <c r="D23" s="7" t="s">
        <v>519</v>
      </c>
      <c r="E23" s="5" t="s">
        <v>398</v>
      </c>
      <c r="F23" s="5" t="str">
        <f>VLOOKUP(C23,key!A:P,4,FALSE)</f>
        <v>control</v>
      </c>
      <c r="G23" s="5">
        <f>VLOOKUP(C23,key!A:P,5,FALSE)</f>
        <v>0</v>
      </c>
      <c r="H23" s="5">
        <f>VLOOKUP(C23,key!A:N,14,FALSE)</f>
        <v>0</v>
      </c>
      <c r="I23" s="9">
        <v>74.2</v>
      </c>
      <c r="J23" s="5">
        <v>50</v>
      </c>
      <c r="K23" s="5">
        <f t="shared" si="0"/>
        <v>3710</v>
      </c>
      <c r="L23" s="8" t="str">
        <f t="shared" si="1"/>
        <v>20211222</v>
      </c>
      <c r="M23" s="8" t="str">
        <f t="shared" si="2"/>
        <v>Sam's RNA Box #2</v>
      </c>
      <c r="N23" s="5" t="s">
        <v>384</v>
      </c>
      <c r="O23" s="5" t="s">
        <v>385</v>
      </c>
    </row>
    <row r="24" spans="1:15" x14ac:dyDescent="0.25">
      <c r="A24" s="7" t="s">
        <v>381</v>
      </c>
      <c r="B24" s="7" t="s">
        <v>408</v>
      </c>
      <c r="C24" s="7" t="s">
        <v>104</v>
      </c>
      <c r="D24" s="7" t="s">
        <v>519</v>
      </c>
      <c r="E24" s="5" t="s">
        <v>398</v>
      </c>
      <c r="F24" s="5" t="str">
        <f>VLOOKUP(C24,key!A:P,4,FALSE)</f>
        <v>control</v>
      </c>
      <c r="G24" s="5">
        <f>VLOOKUP(C24,key!A:P,5,FALSE)</f>
        <v>0</v>
      </c>
      <c r="H24" s="5">
        <f>VLOOKUP(C24,key!A:N,14,FALSE)</f>
        <v>0</v>
      </c>
      <c r="I24" s="9">
        <v>138</v>
      </c>
      <c r="J24" s="5">
        <v>50</v>
      </c>
      <c r="K24" s="5">
        <f t="shared" si="0"/>
        <v>6900</v>
      </c>
      <c r="L24" s="8" t="str">
        <f t="shared" si="1"/>
        <v>20211222</v>
      </c>
      <c r="M24" s="8" t="str">
        <f t="shared" si="2"/>
        <v>Sam's RNA Box #2</v>
      </c>
      <c r="N24" s="5" t="s">
        <v>384</v>
      </c>
      <c r="O24" s="5" t="s">
        <v>385</v>
      </c>
    </row>
    <row r="25" spans="1:15" x14ac:dyDescent="0.25">
      <c r="A25" s="7" t="s">
        <v>381</v>
      </c>
      <c r="B25" s="7" t="s">
        <v>409</v>
      </c>
      <c r="C25" s="7" t="s">
        <v>105</v>
      </c>
      <c r="D25" s="7" t="s">
        <v>519</v>
      </c>
      <c r="E25" s="5" t="s">
        <v>398</v>
      </c>
      <c r="F25" s="5" t="str">
        <f>VLOOKUP(C25,key!A:P,4,FALSE)</f>
        <v>control</v>
      </c>
      <c r="G25" s="5">
        <f>VLOOKUP(C25,key!A:P,5,FALSE)</f>
        <v>0</v>
      </c>
      <c r="H25" s="5">
        <f>VLOOKUP(C25,key!A:N,14,FALSE)</f>
        <v>0</v>
      </c>
      <c r="I25" s="9">
        <v>152</v>
      </c>
      <c r="J25" s="5">
        <v>50</v>
      </c>
      <c r="K25" s="5">
        <f t="shared" si="0"/>
        <v>7600</v>
      </c>
      <c r="L25" s="8" t="str">
        <f t="shared" si="1"/>
        <v>20211222</v>
      </c>
      <c r="M25" s="8" t="str">
        <f t="shared" si="2"/>
        <v>Sam's RNA Box #2</v>
      </c>
      <c r="N25" s="5" t="s">
        <v>384</v>
      </c>
      <c r="O25" s="5" t="s">
        <v>385</v>
      </c>
    </row>
    <row r="26" spans="1:15" x14ac:dyDescent="0.25">
      <c r="A26" s="7" t="s">
        <v>381</v>
      </c>
      <c r="B26" s="7" t="s">
        <v>410</v>
      </c>
      <c r="C26" s="7" t="s">
        <v>18</v>
      </c>
      <c r="D26" s="7" t="s">
        <v>520</v>
      </c>
      <c r="E26" s="5" t="s">
        <v>411</v>
      </c>
      <c r="F26" s="5" t="str">
        <f>VLOOKUP(C26,key!A:P,4,FALSE)</f>
        <v>control</v>
      </c>
      <c r="G26" s="5">
        <f>VLOOKUP(C26,key!A:P,5,FALSE)</f>
        <v>0</v>
      </c>
      <c r="H26" s="5">
        <f>VLOOKUP(C26,key!A:N,14,FALSE)</f>
        <v>0</v>
      </c>
      <c r="I26" s="9">
        <v>28</v>
      </c>
      <c r="J26" s="5">
        <v>100</v>
      </c>
      <c r="K26" s="5">
        <f t="shared" si="0"/>
        <v>2800</v>
      </c>
      <c r="L26" s="8" t="str">
        <f t="shared" ref="L26:L49" si="3">HYPERLINK("https://robertslab.github.io/sams-notebook/2021/12/23/RNA-Isolation-M.trossulus-Phenol-Gland-and-Gill.html", "20211223")</f>
        <v>20211223</v>
      </c>
      <c r="M26" s="8" t="str">
        <f t="shared" si="2"/>
        <v>Sam's RNA Box #2</v>
      </c>
      <c r="N26" s="5" t="s">
        <v>384</v>
      </c>
      <c r="O26" s="5" t="s">
        <v>385</v>
      </c>
    </row>
    <row r="27" spans="1:15" x14ac:dyDescent="0.25">
      <c r="A27" s="7" t="s">
        <v>381</v>
      </c>
      <c r="B27" s="7" t="s">
        <v>412</v>
      </c>
      <c r="C27" s="7" t="s">
        <v>19</v>
      </c>
      <c r="D27" s="7" t="s">
        <v>520</v>
      </c>
      <c r="E27" s="5" t="s">
        <v>411</v>
      </c>
      <c r="F27" s="5" t="str">
        <f>VLOOKUP(C27,key!A:P,4,FALSE)</f>
        <v>control</v>
      </c>
      <c r="G27" s="5">
        <f>VLOOKUP(C27,key!A:P,5,FALSE)</f>
        <v>0</v>
      </c>
      <c r="H27" s="5">
        <f>VLOOKUP(C27,key!A:N,14,FALSE)</f>
        <v>0</v>
      </c>
      <c r="I27" s="9">
        <v>148</v>
      </c>
      <c r="J27" s="5">
        <v>100</v>
      </c>
      <c r="K27" s="5">
        <f t="shared" si="0"/>
        <v>14800</v>
      </c>
      <c r="L27" s="8" t="str">
        <f t="shared" si="3"/>
        <v>20211223</v>
      </c>
      <c r="M27" s="8" t="str">
        <f t="shared" si="2"/>
        <v>Sam's RNA Box #2</v>
      </c>
      <c r="N27" s="5" t="s">
        <v>384</v>
      </c>
      <c r="O27" s="5" t="s">
        <v>385</v>
      </c>
    </row>
    <row r="28" spans="1:15" x14ac:dyDescent="0.25">
      <c r="A28" s="7" t="s">
        <v>381</v>
      </c>
      <c r="B28" s="7" t="s">
        <v>413</v>
      </c>
      <c r="C28" s="7" t="s">
        <v>20</v>
      </c>
      <c r="D28" s="7" t="s">
        <v>520</v>
      </c>
      <c r="E28" s="5" t="s">
        <v>411</v>
      </c>
      <c r="F28" s="5" t="str">
        <f>VLOOKUP(C28,key!A:P,4,FALSE)</f>
        <v>control</v>
      </c>
      <c r="G28" s="5">
        <f>VLOOKUP(C28,key!A:P,5,FALSE)</f>
        <v>0</v>
      </c>
      <c r="H28" s="5">
        <f>VLOOKUP(C28,key!A:N,14,FALSE)</f>
        <v>0</v>
      </c>
      <c r="I28" s="9">
        <v>65.400000000000006</v>
      </c>
      <c r="J28" s="5">
        <v>100</v>
      </c>
      <c r="K28" s="5">
        <f t="shared" si="0"/>
        <v>6540.0000000000009</v>
      </c>
      <c r="L28" s="8" t="str">
        <f t="shared" si="3"/>
        <v>20211223</v>
      </c>
      <c r="M28" s="8" t="str">
        <f t="shared" si="2"/>
        <v>Sam's RNA Box #2</v>
      </c>
      <c r="N28" s="5" t="s">
        <v>384</v>
      </c>
      <c r="O28" s="5" t="s">
        <v>385</v>
      </c>
    </row>
    <row r="29" spans="1:15" x14ac:dyDescent="0.25">
      <c r="A29" s="7" t="s">
        <v>381</v>
      </c>
      <c r="B29" s="7" t="s">
        <v>414</v>
      </c>
      <c r="C29" s="7" t="s">
        <v>21</v>
      </c>
      <c r="D29" s="7" t="s">
        <v>520</v>
      </c>
      <c r="E29" s="5" t="s">
        <v>411</v>
      </c>
      <c r="F29" s="5" t="str">
        <f>VLOOKUP(C29,key!A:P,4,FALSE)</f>
        <v>control</v>
      </c>
      <c r="G29" s="5">
        <f>VLOOKUP(C29,key!A:P,5,FALSE)</f>
        <v>0</v>
      </c>
      <c r="H29" s="5">
        <f>VLOOKUP(C29,key!A:N,14,FALSE)</f>
        <v>0</v>
      </c>
      <c r="I29" s="9">
        <v>126</v>
      </c>
      <c r="J29" s="5">
        <v>100</v>
      </c>
      <c r="K29" s="5">
        <f t="shared" si="0"/>
        <v>12600</v>
      </c>
      <c r="L29" s="8" t="str">
        <f t="shared" si="3"/>
        <v>20211223</v>
      </c>
      <c r="M29" s="8" t="str">
        <f t="shared" si="2"/>
        <v>Sam's RNA Box #2</v>
      </c>
      <c r="N29" s="5" t="s">
        <v>384</v>
      </c>
      <c r="O29" s="5" t="s">
        <v>385</v>
      </c>
    </row>
    <row r="30" spans="1:15" x14ac:dyDescent="0.25">
      <c r="A30" s="7" t="s">
        <v>381</v>
      </c>
      <c r="B30" s="7" t="s">
        <v>415</v>
      </c>
      <c r="C30" s="7" t="s">
        <v>22</v>
      </c>
      <c r="D30" s="7" t="s">
        <v>520</v>
      </c>
      <c r="E30" s="5" t="s">
        <v>411</v>
      </c>
      <c r="F30" s="5" t="str">
        <f>VLOOKUP(C30,key!A:P,4,FALSE)</f>
        <v>control</v>
      </c>
      <c r="G30" s="5">
        <f>VLOOKUP(C30,key!A:P,5,FALSE)</f>
        <v>0</v>
      </c>
      <c r="H30" s="5">
        <f>VLOOKUP(C30,key!A:N,14,FALSE)</f>
        <v>0</v>
      </c>
      <c r="I30" s="9">
        <v>160</v>
      </c>
      <c r="J30" s="5">
        <v>100</v>
      </c>
      <c r="K30" s="5">
        <f t="shared" si="0"/>
        <v>16000</v>
      </c>
      <c r="L30" s="8" t="str">
        <f t="shared" si="3"/>
        <v>20211223</v>
      </c>
      <c r="M30" s="8" t="str">
        <f t="shared" si="2"/>
        <v>Sam's RNA Box #2</v>
      </c>
      <c r="N30" s="5" t="s">
        <v>384</v>
      </c>
      <c r="O30" s="5" t="s">
        <v>385</v>
      </c>
    </row>
    <row r="31" spans="1:15" x14ac:dyDescent="0.25">
      <c r="A31" s="7" t="s">
        <v>381</v>
      </c>
      <c r="B31" s="7" t="s">
        <v>416</v>
      </c>
      <c r="C31" s="7" t="s">
        <v>23</v>
      </c>
      <c r="D31" s="7" t="s">
        <v>520</v>
      </c>
      <c r="E31" s="5" t="s">
        <v>411</v>
      </c>
      <c r="F31" s="5" t="str">
        <f>VLOOKUP(C31,key!A:P,4,FALSE)</f>
        <v>control</v>
      </c>
      <c r="G31" s="5">
        <f>VLOOKUP(C31,key!A:P,5,FALSE)</f>
        <v>0</v>
      </c>
      <c r="H31" s="5">
        <f>VLOOKUP(C31,key!A:N,14,FALSE)</f>
        <v>0</v>
      </c>
      <c r="I31" s="9">
        <v>118</v>
      </c>
      <c r="J31" s="5">
        <v>100</v>
      </c>
      <c r="K31" s="5">
        <f t="shared" si="0"/>
        <v>11800</v>
      </c>
      <c r="L31" s="8" t="str">
        <f t="shared" si="3"/>
        <v>20211223</v>
      </c>
      <c r="M31" s="8" t="str">
        <f t="shared" si="2"/>
        <v>Sam's RNA Box #2</v>
      </c>
      <c r="N31" s="5" t="s">
        <v>384</v>
      </c>
      <c r="O31" s="5" t="s">
        <v>385</v>
      </c>
    </row>
    <row r="32" spans="1:15" x14ac:dyDescent="0.25">
      <c r="A32" s="7" t="s">
        <v>381</v>
      </c>
      <c r="B32" s="7" t="s">
        <v>417</v>
      </c>
      <c r="C32" s="7" t="s">
        <v>24</v>
      </c>
      <c r="D32" s="7" t="s">
        <v>520</v>
      </c>
      <c r="E32" s="5" t="s">
        <v>411</v>
      </c>
      <c r="F32" s="5" t="str">
        <f>VLOOKUP(C32,key!A:P,4,FALSE)</f>
        <v>control</v>
      </c>
      <c r="G32" s="5">
        <f>VLOOKUP(C32,key!A:P,5,FALSE)</f>
        <v>0</v>
      </c>
      <c r="H32" s="5">
        <f>VLOOKUP(C32,key!A:N,14,FALSE)</f>
        <v>0</v>
      </c>
      <c r="I32" s="9">
        <v>106</v>
      </c>
      <c r="J32" s="5">
        <v>100</v>
      </c>
      <c r="K32" s="5">
        <f t="shared" si="0"/>
        <v>10600</v>
      </c>
      <c r="L32" s="8" t="str">
        <f t="shared" si="3"/>
        <v>20211223</v>
      </c>
      <c r="M32" s="8" t="str">
        <f t="shared" si="2"/>
        <v>Sam's RNA Box #2</v>
      </c>
      <c r="N32" s="5" t="s">
        <v>384</v>
      </c>
      <c r="O32" s="5" t="s">
        <v>385</v>
      </c>
    </row>
    <row r="33" spans="1:15" x14ac:dyDescent="0.25">
      <c r="A33" s="7" t="s">
        <v>381</v>
      </c>
      <c r="B33" s="7" t="s">
        <v>418</v>
      </c>
      <c r="C33" s="7" t="s">
        <v>25</v>
      </c>
      <c r="D33" s="7" t="s">
        <v>520</v>
      </c>
      <c r="E33" s="5" t="s">
        <v>411</v>
      </c>
      <c r="F33" s="5" t="str">
        <f>VLOOKUP(C33,key!A:P,4,FALSE)</f>
        <v>control</v>
      </c>
      <c r="G33" s="5">
        <f>VLOOKUP(C33,key!A:P,5,FALSE)</f>
        <v>0</v>
      </c>
      <c r="H33" s="5">
        <f>VLOOKUP(C33,key!A:N,14,FALSE)</f>
        <v>0</v>
      </c>
      <c r="I33" s="9">
        <v>132</v>
      </c>
      <c r="J33" s="5">
        <v>100</v>
      </c>
      <c r="K33" s="5">
        <f t="shared" si="0"/>
        <v>13200</v>
      </c>
      <c r="L33" s="8" t="str">
        <f t="shared" si="3"/>
        <v>20211223</v>
      </c>
      <c r="M33" s="8" t="str">
        <f t="shared" si="2"/>
        <v>Sam's RNA Box #2</v>
      </c>
      <c r="N33" s="5" t="s">
        <v>384</v>
      </c>
      <c r="O33" s="5" t="s">
        <v>385</v>
      </c>
    </row>
    <row r="34" spans="1:15" x14ac:dyDescent="0.25">
      <c r="A34" s="7" t="s">
        <v>381</v>
      </c>
      <c r="B34" s="7" t="s">
        <v>419</v>
      </c>
      <c r="C34" s="7" t="s">
        <v>26</v>
      </c>
      <c r="D34" s="7" t="s">
        <v>520</v>
      </c>
      <c r="E34" s="5" t="s">
        <v>411</v>
      </c>
      <c r="F34" s="5" t="str">
        <f>VLOOKUP(C34,key!A:P,4,FALSE)</f>
        <v>control</v>
      </c>
      <c r="G34" s="5">
        <f>VLOOKUP(C34,key!A:P,5,FALSE)</f>
        <v>0</v>
      </c>
      <c r="H34" s="5">
        <f>VLOOKUP(C34,key!A:N,14,FALSE)</f>
        <v>0</v>
      </c>
      <c r="I34" s="9">
        <v>130</v>
      </c>
      <c r="J34" s="5">
        <v>100</v>
      </c>
      <c r="K34" s="5">
        <f t="shared" si="0"/>
        <v>13000</v>
      </c>
      <c r="L34" s="8" t="str">
        <f t="shared" si="3"/>
        <v>20211223</v>
      </c>
      <c r="M34" s="8" t="str">
        <f t="shared" si="2"/>
        <v>Sam's RNA Box #2</v>
      </c>
      <c r="N34" s="5" t="s">
        <v>384</v>
      </c>
      <c r="O34" s="5" t="s">
        <v>385</v>
      </c>
    </row>
    <row r="35" spans="1:15" x14ac:dyDescent="0.25">
      <c r="A35" s="7" t="s">
        <v>381</v>
      </c>
      <c r="B35" s="7" t="s">
        <v>420</v>
      </c>
      <c r="C35" s="7" t="s">
        <v>27</v>
      </c>
      <c r="D35" s="7" t="s">
        <v>520</v>
      </c>
      <c r="E35" s="5" t="s">
        <v>411</v>
      </c>
      <c r="F35" s="5" t="str">
        <f>VLOOKUP(C35,key!A:P,4,FALSE)</f>
        <v>control</v>
      </c>
      <c r="G35" s="5">
        <f>VLOOKUP(C35,key!A:P,5,FALSE)</f>
        <v>0</v>
      </c>
      <c r="H35" s="5">
        <f>VLOOKUP(C35,key!A:N,14,FALSE)</f>
        <v>0</v>
      </c>
      <c r="I35" s="9">
        <v>85.6</v>
      </c>
      <c r="J35" s="5">
        <v>100</v>
      </c>
      <c r="K35" s="5">
        <f t="shared" si="0"/>
        <v>8560</v>
      </c>
      <c r="L35" s="8" t="str">
        <f t="shared" si="3"/>
        <v>20211223</v>
      </c>
      <c r="M35" s="8" t="str">
        <f t="shared" si="2"/>
        <v>Sam's RNA Box #2</v>
      </c>
      <c r="N35" s="5" t="s">
        <v>384</v>
      </c>
      <c r="O35" s="5" t="s">
        <v>385</v>
      </c>
    </row>
    <row r="36" spans="1:15" x14ac:dyDescent="0.25">
      <c r="A36" s="7" t="s">
        <v>381</v>
      </c>
      <c r="B36" s="7" t="s">
        <v>421</v>
      </c>
      <c r="C36" s="7" t="s">
        <v>104</v>
      </c>
      <c r="D36" s="7" t="s">
        <v>520</v>
      </c>
      <c r="E36" s="5" t="s">
        <v>411</v>
      </c>
      <c r="F36" s="5" t="str">
        <f>VLOOKUP(C36,key!A:P,4,FALSE)</f>
        <v>control</v>
      </c>
      <c r="G36" s="5">
        <f>VLOOKUP(C36,key!A:P,5,FALSE)</f>
        <v>0</v>
      </c>
      <c r="H36" s="5">
        <f>VLOOKUP(C36,key!A:N,14,FALSE)</f>
        <v>0</v>
      </c>
      <c r="I36" s="9">
        <v>112</v>
      </c>
      <c r="J36" s="5">
        <v>100</v>
      </c>
      <c r="K36" s="5">
        <f t="shared" si="0"/>
        <v>11200</v>
      </c>
      <c r="L36" s="8" t="str">
        <f t="shared" si="3"/>
        <v>20211223</v>
      </c>
      <c r="M36" s="8" t="str">
        <f t="shared" si="2"/>
        <v>Sam's RNA Box #2</v>
      </c>
      <c r="N36" s="5" t="s">
        <v>384</v>
      </c>
      <c r="O36" s="5" t="s">
        <v>385</v>
      </c>
    </row>
    <row r="37" spans="1:15" x14ac:dyDescent="0.25">
      <c r="A37" s="7" t="s">
        <v>381</v>
      </c>
      <c r="B37" s="7" t="s">
        <v>422</v>
      </c>
      <c r="C37" s="7" t="s">
        <v>105</v>
      </c>
      <c r="D37" s="7" t="s">
        <v>520</v>
      </c>
      <c r="E37" s="5" t="s">
        <v>411</v>
      </c>
      <c r="F37" s="5" t="str">
        <f>VLOOKUP(C37,key!A:P,4,FALSE)</f>
        <v>control</v>
      </c>
      <c r="G37" s="5">
        <f>VLOOKUP(C37,key!A:P,5,FALSE)</f>
        <v>0</v>
      </c>
      <c r="H37" s="5">
        <f>VLOOKUP(C37,key!A:N,14,FALSE)</f>
        <v>0</v>
      </c>
      <c r="I37" s="9">
        <v>132</v>
      </c>
      <c r="J37" s="5">
        <v>100</v>
      </c>
      <c r="K37" s="5">
        <f t="shared" si="0"/>
        <v>13200</v>
      </c>
      <c r="L37" s="8" t="str">
        <f t="shared" si="3"/>
        <v>20211223</v>
      </c>
      <c r="M37" s="8" t="str">
        <f t="shared" si="2"/>
        <v>Sam's RNA Box #2</v>
      </c>
      <c r="N37" s="5" t="s">
        <v>384</v>
      </c>
      <c r="O37" s="5" t="s">
        <v>385</v>
      </c>
    </row>
    <row r="38" spans="1:15" x14ac:dyDescent="0.25">
      <c r="A38" s="7" t="s">
        <v>381</v>
      </c>
      <c r="B38" s="7" t="s">
        <v>423</v>
      </c>
      <c r="C38" s="7" t="s">
        <v>211</v>
      </c>
      <c r="D38" s="7" t="s">
        <v>519</v>
      </c>
      <c r="E38" s="5" t="s">
        <v>398</v>
      </c>
      <c r="F38" s="5" t="str">
        <f>VLOOKUP(C38,key!A:P,4,FALSE)</f>
        <v>control</v>
      </c>
      <c r="G38" s="5">
        <f>VLOOKUP(C38,key!A:P,5,FALSE)</f>
        <v>3</v>
      </c>
      <c r="H38" s="5">
        <f>VLOOKUP(C38,key!A:N,14,FALSE)</f>
        <v>0</v>
      </c>
      <c r="I38" s="9">
        <v>23.8</v>
      </c>
      <c r="J38" s="5">
        <v>50</v>
      </c>
      <c r="K38" s="5">
        <f t="shared" si="0"/>
        <v>1190</v>
      </c>
      <c r="L38" s="8" t="str">
        <f t="shared" si="3"/>
        <v>20211223</v>
      </c>
      <c r="M38" s="8" t="str">
        <f t="shared" si="2"/>
        <v>Sam's RNA Box #2</v>
      </c>
      <c r="N38" s="5" t="s">
        <v>384</v>
      </c>
      <c r="O38" s="5" t="s">
        <v>385</v>
      </c>
    </row>
    <row r="39" spans="1:15" x14ac:dyDescent="0.25">
      <c r="A39" s="7" t="s">
        <v>381</v>
      </c>
      <c r="B39" s="7" t="s">
        <v>424</v>
      </c>
      <c r="C39" s="7" t="s">
        <v>212</v>
      </c>
      <c r="D39" s="7" t="s">
        <v>519</v>
      </c>
      <c r="E39" s="5" t="s">
        <v>398</v>
      </c>
      <c r="F39" s="5" t="str">
        <f>VLOOKUP(C39,key!A:P,4,FALSE)</f>
        <v>control</v>
      </c>
      <c r="G39" s="5">
        <f>VLOOKUP(C39,key!A:P,5,FALSE)</f>
        <v>3</v>
      </c>
      <c r="H39" s="5">
        <f>VLOOKUP(C39,key!A:N,14,FALSE)</f>
        <v>0</v>
      </c>
      <c r="I39" s="9">
        <v>36.6</v>
      </c>
      <c r="J39" s="5">
        <v>50</v>
      </c>
      <c r="K39" s="5">
        <f t="shared" si="0"/>
        <v>1830</v>
      </c>
      <c r="L39" s="8" t="str">
        <f t="shared" si="3"/>
        <v>20211223</v>
      </c>
      <c r="M39" s="8" t="str">
        <f t="shared" si="2"/>
        <v>Sam's RNA Box #2</v>
      </c>
      <c r="N39" s="5" t="s">
        <v>384</v>
      </c>
      <c r="O39" s="5" t="s">
        <v>385</v>
      </c>
    </row>
    <row r="40" spans="1:15" x14ac:dyDescent="0.25">
      <c r="A40" s="7" t="s">
        <v>381</v>
      </c>
      <c r="B40" s="7" t="s">
        <v>425</v>
      </c>
      <c r="C40" s="7" t="s">
        <v>213</v>
      </c>
      <c r="D40" s="7" t="s">
        <v>519</v>
      </c>
      <c r="E40" s="5" t="s">
        <v>398</v>
      </c>
      <c r="F40" s="5" t="str">
        <f>VLOOKUP(C40,key!A:P,4,FALSE)</f>
        <v>control</v>
      </c>
      <c r="G40" s="5">
        <f>VLOOKUP(C40,key!A:P,5,FALSE)</f>
        <v>3</v>
      </c>
      <c r="H40" s="5">
        <f>VLOOKUP(C40,key!A:N,14,FALSE)</f>
        <v>0</v>
      </c>
      <c r="I40" s="9">
        <v>57.6</v>
      </c>
      <c r="J40" s="5">
        <v>50</v>
      </c>
      <c r="K40" s="5">
        <f t="shared" si="0"/>
        <v>2880</v>
      </c>
      <c r="L40" s="8" t="str">
        <f t="shared" si="3"/>
        <v>20211223</v>
      </c>
      <c r="M40" s="8" t="str">
        <f t="shared" si="2"/>
        <v>Sam's RNA Box #2</v>
      </c>
      <c r="N40" s="5" t="s">
        <v>384</v>
      </c>
      <c r="O40" s="5" t="s">
        <v>385</v>
      </c>
    </row>
    <row r="41" spans="1:15" x14ac:dyDescent="0.25">
      <c r="A41" s="7" t="s">
        <v>381</v>
      </c>
      <c r="B41" s="7" t="s">
        <v>426</v>
      </c>
      <c r="C41" s="7" t="s">
        <v>214</v>
      </c>
      <c r="D41" s="7" t="s">
        <v>519</v>
      </c>
      <c r="E41" s="5" t="s">
        <v>398</v>
      </c>
      <c r="F41" s="5" t="str">
        <f>VLOOKUP(C41,key!A:P,4,FALSE)</f>
        <v>control</v>
      </c>
      <c r="G41" s="5">
        <f>VLOOKUP(C41,key!A:P,5,FALSE)</f>
        <v>3</v>
      </c>
      <c r="H41" s="5">
        <f>VLOOKUP(C41,key!A:N,14,FALSE)</f>
        <v>0</v>
      </c>
      <c r="I41" s="9">
        <v>52.2</v>
      </c>
      <c r="J41" s="5">
        <v>50</v>
      </c>
      <c r="K41" s="5">
        <f t="shared" si="0"/>
        <v>2610</v>
      </c>
      <c r="L41" s="8" t="str">
        <f t="shared" si="3"/>
        <v>20211223</v>
      </c>
      <c r="M41" s="8" t="str">
        <f t="shared" si="2"/>
        <v>Sam's RNA Box #2</v>
      </c>
      <c r="N41" s="5" t="s">
        <v>384</v>
      </c>
      <c r="O41" s="5" t="s">
        <v>385</v>
      </c>
    </row>
    <row r="42" spans="1:15" x14ac:dyDescent="0.25">
      <c r="A42" s="7" t="s">
        <v>381</v>
      </c>
      <c r="B42" s="7" t="s">
        <v>427</v>
      </c>
      <c r="C42" s="7" t="s">
        <v>215</v>
      </c>
      <c r="D42" s="7" t="s">
        <v>519</v>
      </c>
      <c r="E42" s="5" t="s">
        <v>398</v>
      </c>
      <c r="F42" s="5" t="str">
        <f>VLOOKUP(C42,key!A:P,4,FALSE)</f>
        <v>control</v>
      </c>
      <c r="G42" s="5">
        <f>VLOOKUP(C42,key!A:P,5,FALSE)</f>
        <v>3</v>
      </c>
      <c r="H42" s="5">
        <f>VLOOKUP(C42,key!A:N,14,FALSE)</f>
        <v>0</v>
      </c>
      <c r="I42" s="9">
        <v>12.2</v>
      </c>
      <c r="J42" s="5">
        <v>50</v>
      </c>
      <c r="K42" s="5">
        <f t="shared" si="0"/>
        <v>610</v>
      </c>
      <c r="L42" s="8" t="str">
        <f t="shared" si="3"/>
        <v>20211223</v>
      </c>
      <c r="M42" s="8" t="str">
        <f t="shared" si="2"/>
        <v>Sam's RNA Box #2</v>
      </c>
      <c r="N42" s="5" t="s">
        <v>384</v>
      </c>
      <c r="O42" s="5" t="s">
        <v>385</v>
      </c>
    </row>
    <row r="43" spans="1:15" x14ac:dyDescent="0.25">
      <c r="A43" s="7" t="s">
        <v>381</v>
      </c>
      <c r="B43" s="7" t="s">
        <v>428</v>
      </c>
      <c r="C43" s="7" t="s">
        <v>216</v>
      </c>
      <c r="D43" s="7" t="s">
        <v>519</v>
      </c>
      <c r="E43" s="5" t="s">
        <v>398</v>
      </c>
      <c r="F43" s="5" t="str">
        <f>VLOOKUP(C43,key!A:P,4,FALSE)</f>
        <v>control</v>
      </c>
      <c r="G43" s="5">
        <f>VLOOKUP(C43,key!A:P,5,FALSE)</f>
        <v>3</v>
      </c>
      <c r="H43" s="5">
        <f>VLOOKUP(C43,key!A:N,14,FALSE)</f>
        <v>0</v>
      </c>
      <c r="I43" s="9">
        <v>21.8</v>
      </c>
      <c r="J43" s="5">
        <v>50</v>
      </c>
      <c r="K43" s="5">
        <f t="shared" si="0"/>
        <v>1090</v>
      </c>
      <c r="L43" s="8" t="str">
        <f t="shared" si="3"/>
        <v>20211223</v>
      </c>
      <c r="M43" s="8" t="str">
        <f t="shared" si="2"/>
        <v>Sam's RNA Box #2</v>
      </c>
      <c r="N43" s="5" t="s">
        <v>384</v>
      </c>
      <c r="O43" s="5" t="s">
        <v>385</v>
      </c>
    </row>
    <row r="44" spans="1:15" x14ac:dyDescent="0.25">
      <c r="A44" s="7" t="s">
        <v>381</v>
      </c>
      <c r="B44" s="7" t="s">
        <v>429</v>
      </c>
      <c r="C44" s="7" t="s">
        <v>217</v>
      </c>
      <c r="D44" s="7" t="s">
        <v>519</v>
      </c>
      <c r="E44" s="5" t="s">
        <v>398</v>
      </c>
      <c r="F44" s="5" t="str">
        <f>VLOOKUP(C44,key!A:P,4,FALSE)</f>
        <v>control</v>
      </c>
      <c r="G44" s="5">
        <f>VLOOKUP(C44,key!A:P,5,FALSE)</f>
        <v>3</v>
      </c>
      <c r="H44" s="5">
        <f>VLOOKUP(C44,key!A:N,14,FALSE)</f>
        <v>0</v>
      </c>
      <c r="I44" s="9">
        <v>75.599999999999994</v>
      </c>
      <c r="J44" s="5">
        <v>50</v>
      </c>
      <c r="K44" s="5">
        <f t="shared" si="0"/>
        <v>3779.9999999999995</v>
      </c>
      <c r="L44" s="8" t="str">
        <f t="shared" si="3"/>
        <v>20211223</v>
      </c>
      <c r="M44" s="8" t="str">
        <f t="shared" si="2"/>
        <v>Sam's RNA Box #2</v>
      </c>
      <c r="N44" s="5" t="s">
        <v>384</v>
      </c>
      <c r="O44" s="5" t="s">
        <v>385</v>
      </c>
    </row>
    <row r="45" spans="1:15" x14ac:dyDescent="0.25">
      <c r="A45" s="7" t="s">
        <v>381</v>
      </c>
      <c r="B45" s="7" t="s">
        <v>430</v>
      </c>
      <c r="C45" s="7" t="s">
        <v>218</v>
      </c>
      <c r="D45" s="7" t="s">
        <v>519</v>
      </c>
      <c r="E45" s="5" t="s">
        <v>398</v>
      </c>
      <c r="F45" s="5" t="str">
        <f>VLOOKUP(C45,key!A:P,4,FALSE)</f>
        <v>control</v>
      </c>
      <c r="G45" s="5">
        <f>VLOOKUP(C45,key!A:P,5,FALSE)</f>
        <v>3</v>
      </c>
      <c r="H45" s="5">
        <f>VLOOKUP(C45,key!A:N,14,FALSE)</f>
        <v>0</v>
      </c>
      <c r="I45" s="9">
        <v>69.400000000000006</v>
      </c>
      <c r="J45" s="5">
        <v>50</v>
      </c>
      <c r="K45" s="5">
        <f t="shared" si="0"/>
        <v>3470.0000000000005</v>
      </c>
      <c r="L45" s="8" t="str">
        <f t="shared" si="3"/>
        <v>20211223</v>
      </c>
      <c r="M45" s="8" t="str">
        <f t="shared" si="2"/>
        <v>Sam's RNA Box #2</v>
      </c>
      <c r="N45" s="5" t="s">
        <v>384</v>
      </c>
      <c r="O45" s="5" t="s">
        <v>385</v>
      </c>
    </row>
    <row r="46" spans="1:15" x14ac:dyDescent="0.25">
      <c r="A46" s="7" t="s">
        <v>381</v>
      </c>
      <c r="B46" s="7" t="s">
        <v>431</v>
      </c>
      <c r="C46" s="7" t="s">
        <v>219</v>
      </c>
      <c r="D46" s="7" t="s">
        <v>519</v>
      </c>
      <c r="E46" s="5" t="s">
        <v>398</v>
      </c>
      <c r="F46" s="5" t="str">
        <f>VLOOKUP(C46,key!A:P,4,FALSE)</f>
        <v>control</v>
      </c>
      <c r="G46" s="5">
        <f>VLOOKUP(C46,key!A:P,5,FALSE)</f>
        <v>3</v>
      </c>
      <c r="H46" s="5">
        <f>VLOOKUP(C46,key!A:N,14,FALSE)</f>
        <v>0</v>
      </c>
      <c r="I46" s="9">
        <v>62.8</v>
      </c>
      <c r="J46" s="5">
        <v>50</v>
      </c>
      <c r="K46" s="5">
        <f t="shared" si="0"/>
        <v>3140</v>
      </c>
      <c r="L46" s="8" t="str">
        <f t="shared" si="3"/>
        <v>20211223</v>
      </c>
      <c r="M46" s="8" t="str">
        <f t="shared" si="2"/>
        <v>Sam's RNA Box #2</v>
      </c>
      <c r="N46" s="5" t="s">
        <v>384</v>
      </c>
      <c r="O46" s="5" t="s">
        <v>385</v>
      </c>
    </row>
    <row r="47" spans="1:15" x14ac:dyDescent="0.25">
      <c r="A47" s="7" t="s">
        <v>381</v>
      </c>
      <c r="B47" s="7" t="s">
        <v>432</v>
      </c>
      <c r="C47" s="7" t="s">
        <v>220</v>
      </c>
      <c r="D47" s="7" t="s">
        <v>519</v>
      </c>
      <c r="E47" s="5" t="s">
        <v>398</v>
      </c>
      <c r="F47" s="5" t="str">
        <f>VLOOKUP(C47,key!A:P,4,FALSE)</f>
        <v>control</v>
      </c>
      <c r="G47" s="5">
        <f>VLOOKUP(C47,key!A:P,5,FALSE)</f>
        <v>3</v>
      </c>
      <c r="H47" s="5">
        <f>VLOOKUP(C47,key!A:N,14,FALSE)</f>
        <v>0</v>
      </c>
      <c r="I47" s="9">
        <v>43</v>
      </c>
      <c r="J47" s="5">
        <v>50</v>
      </c>
      <c r="K47" s="5">
        <f t="shared" si="0"/>
        <v>2150</v>
      </c>
      <c r="L47" s="8" t="str">
        <f t="shared" si="3"/>
        <v>20211223</v>
      </c>
      <c r="M47" s="8" t="str">
        <f t="shared" si="2"/>
        <v>Sam's RNA Box #2</v>
      </c>
      <c r="N47" s="5" t="s">
        <v>384</v>
      </c>
      <c r="O47" s="5" t="s">
        <v>385</v>
      </c>
    </row>
    <row r="48" spans="1:15" x14ac:dyDescent="0.25">
      <c r="A48" s="7" t="s">
        <v>381</v>
      </c>
      <c r="B48" s="7" t="s">
        <v>433</v>
      </c>
      <c r="C48" s="7" t="s">
        <v>221</v>
      </c>
      <c r="D48" s="7" t="s">
        <v>519</v>
      </c>
      <c r="E48" s="5" t="s">
        <v>398</v>
      </c>
      <c r="F48" s="5" t="str">
        <f>VLOOKUP(C48,key!A:P,4,FALSE)</f>
        <v>control</v>
      </c>
      <c r="G48" s="5">
        <f>VLOOKUP(C48,key!A:P,5,FALSE)</f>
        <v>3</v>
      </c>
      <c r="H48" s="5">
        <f>VLOOKUP(C48,key!A:N,14,FALSE)</f>
        <v>0</v>
      </c>
      <c r="I48" s="9">
        <v>55.2</v>
      </c>
      <c r="J48" s="5">
        <v>50</v>
      </c>
      <c r="K48" s="5">
        <f t="shared" si="0"/>
        <v>2760</v>
      </c>
      <c r="L48" s="8" t="str">
        <f t="shared" si="3"/>
        <v>20211223</v>
      </c>
      <c r="M48" s="8" t="str">
        <f t="shared" si="2"/>
        <v>Sam's RNA Box #2</v>
      </c>
      <c r="N48" s="5" t="s">
        <v>384</v>
      </c>
      <c r="O48" s="5" t="s">
        <v>385</v>
      </c>
    </row>
    <row r="49" spans="1:15" x14ac:dyDescent="0.25">
      <c r="A49" s="7" t="s">
        <v>381</v>
      </c>
      <c r="B49" s="7" t="s">
        <v>434</v>
      </c>
      <c r="C49" s="7" t="s">
        <v>222</v>
      </c>
      <c r="D49" s="7" t="s">
        <v>519</v>
      </c>
      <c r="E49" s="5" t="s">
        <v>398</v>
      </c>
      <c r="F49" s="5" t="str">
        <f>VLOOKUP(C49,key!A:P,4,FALSE)</f>
        <v>control</v>
      </c>
      <c r="G49" s="5">
        <f>VLOOKUP(C49,key!A:P,5,FALSE)</f>
        <v>3</v>
      </c>
      <c r="H49" s="5">
        <f>VLOOKUP(C49,key!A:N,14,FALSE)</f>
        <v>0</v>
      </c>
      <c r="I49" s="9">
        <v>92.8</v>
      </c>
      <c r="J49" s="5">
        <v>50</v>
      </c>
      <c r="K49" s="5">
        <f t="shared" si="0"/>
        <v>4640</v>
      </c>
      <c r="L49" s="8" t="str">
        <f t="shared" si="3"/>
        <v>20211223</v>
      </c>
      <c r="M49" s="8" t="str">
        <f t="shared" si="2"/>
        <v>Sam's RNA Box #2</v>
      </c>
      <c r="N49" s="5" t="s">
        <v>384</v>
      </c>
      <c r="O49" s="5" t="s">
        <v>385</v>
      </c>
    </row>
    <row r="50" spans="1:15" x14ac:dyDescent="0.25">
      <c r="A50" s="7" t="s">
        <v>381</v>
      </c>
      <c r="B50" s="10" t="s">
        <v>435</v>
      </c>
      <c r="C50" s="10" t="s">
        <v>211</v>
      </c>
      <c r="D50" s="10" t="s">
        <v>520</v>
      </c>
      <c r="E50" s="5" t="s">
        <v>411</v>
      </c>
      <c r="F50" s="5" t="str">
        <f>VLOOKUP(C50,key!A:P,4,FALSE)</f>
        <v>control</v>
      </c>
      <c r="G50" s="5">
        <f>VLOOKUP(C50,key!A:P,5,FALSE)</f>
        <v>3</v>
      </c>
      <c r="H50" s="5">
        <f>VLOOKUP(C50,key!A:N,14,FALSE)</f>
        <v>0</v>
      </c>
      <c r="I50" s="9">
        <v>79</v>
      </c>
      <c r="J50" s="5">
        <v>100</v>
      </c>
      <c r="K50" s="5">
        <f t="shared" si="0"/>
        <v>7900</v>
      </c>
      <c r="L50" s="8" t="str">
        <f t="shared" ref="L50:L85" si="4">HYPERLINK("https://robertslab.github.io/sams-notebook/2022/01/09/RNA-Isolation-M.trossulus-Gill-and-Phenol-Gland.html", "20220109")</f>
        <v>20220109</v>
      </c>
      <c r="M50" s="8" t="str">
        <f t="shared" si="2"/>
        <v>Sam's RNA Box #2</v>
      </c>
      <c r="N50" s="5" t="s">
        <v>384</v>
      </c>
      <c r="O50" s="5" t="s">
        <v>385</v>
      </c>
    </row>
    <row r="51" spans="1:15" x14ac:dyDescent="0.25">
      <c r="A51" s="7" t="s">
        <v>381</v>
      </c>
      <c r="B51" s="10" t="s">
        <v>436</v>
      </c>
      <c r="C51" s="10" t="s">
        <v>212</v>
      </c>
      <c r="D51" s="10" t="s">
        <v>520</v>
      </c>
      <c r="E51" s="5" t="s">
        <v>411</v>
      </c>
      <c r="F51" s="5" t="str">
        <f>VLOOKUP(C51,key!A:P,4,FALSE)</f>
        <v>control</v>
      </c>
      <c r="G51" s="5">
        <f>VLOOKUP(C51,key!A:P,5,FALSE)</f>
        <v>3</v>
      </c>
      <c r="H51" s="5">
        <f>VLOOKUP(C51,key!A:N,14,FALSE)</f>
        <v>0</v>
      </c>
      <c r="I51" s="9">
        <v>86.6</v>
      </c>
      <c r="J51" s="5">
        <v>100</v>
      </c>
      <c r="K51" s="5">
        <f t="shared" si="0"/>
        <v>8660</v>
      </c>
      <c r="L51" s="8" t="str">
        <f t="shared" si="4"/>
        <v>20220109</v>
      </c>
      <c r="M51" s="8" t="str">
        <f t="shared" si="2"/>
        <v>Sam's RNA Box #2</v>
      </c>
      <c r="N51" s="5" t="s">
        <v>384</v>
      </c>
      <c r="O51" s="5" t="s">
        <v>385</v>
      </c>
    </row>
    <row r="52" spans="1:15" x14ac:dyDescent="0.25">
      <c r="A52" s="7" t="s">
        <v>381</v>
      </c>
      <c r="B52" s="10" t="s">
        <v>437</v>
      </c>
      <c r="C52" s="10" t="s">
        <v>213</v>
      </c>
      <c r="D52" s="10" t="s">
        <v>520</v>
      </c>
      <c r="E52" s="5" t="s">
        <v>411</v>
      </c>
      <c r="F52" s="5" t="str">
        <f>VLOOKUP(C52,key!A:P,4,FALSE)</f>
        <v>control</v>
      </c>
      <c r="G52" s="5">
        <f>VLOOKUP(C52,key!A:P,5,FALSE)</f>
        <v>3</v>
      </c>
      <c r="H52" s="5">
        <f>VLOOKUP(C52,key!A:N,14,FALSE)</f>
        <v>0</v>
      </c>
      <c r="I52" s="9">
        <v>82</v>
      </c>
      <c r="J52" s="5">
        <v>100</v>
      </c>
      <c r="K52" s="5">
        <f t="shared" si="0"/>
        <v>8200</v>
      </c>
      <c r="L52" s="8" t="str">
        <f t="shared" si="4"/>
        <v>20220109</v>
      </c>
      <c r="M52" s="8" t="str">
        <f t="shared" si="2"/>
        <v>Sam's RNA Box #2</v>
      </c>
      <c r="N52" s="5" t="s">
        <v>384</v>
      </c>
      <c r="O52" s="5" t="s">
        <v>385</v>
      </c>
    </row>
    <row r="53" spans="1:15" x14ac:dyDescent="0.25">
      <c r="A53" s="7" t="s">
        <v>381</v>
      </c>
      <c r="B53" s="10" t="s">
        <v>438</v>
      </c>
      <c r="C53" s="10" t="s">
        <v>214</v>
      </c>
      <c r="D53" s="10" t="s">
        <v>520</v>
      </c>
      <c r="E53" s="5" t="s">
        <v>411</v>
      </c>
      <c r="F53" s="5" t="str">
        <f>VLOOKUP(C53,key!A:P,4,FALSE)</f>
        <v>control</v>
      </c>
      <c r="G53" s="5">
        <f>VLOOKUP(C53,key!A:P,5,FALSE)</f>
        <v>3</v>
      </c>
      <c r="H53" s="5">
        <f>VLOOKUP(C53,key!A:N,14,FALSE)</f>
        <v>0</v>
      </c>
      <c r="I53" s="9">
        <v>45.8</v>
      </c>
      <c r="J53" s="5">
        <v>100</v>
      </c>
      <c r="K53" s="5">
        <f t="shared" si="0"/>
        <v>4580</v>
      </c>
      <c r="L53" s="8" t="str">
        <f t="shared" si="4"/>
        <v>20220109</v>
      </c>
      <c r="M53" s="8" t="str">
        <f t="shared" si="2"/>
        <v>Sam's RNA Box #2</v>
      </c>
      <c r="N53" s="5" t="s">
        <v>384</v>
      </c>
      <c r="O53" s="5" t="s">
        <v>385</v>
      </c>
    </row>
    <row r="54" spans="1:15" x14ac:dyDescent="0.25">
      <c r="A54" s="7" t="s">
        <v>381</v>
      </c>
      <c r="B54" s="10" t="s">
        <v>439</v>
      </c>
      <c r="C54" s="10" t="s">
        <v>215</v>
      </c>
      <c r="D54" s="10" t="s">
        <v>520</v>
      </c>
      <c r="E54" s="5" t="s">
        <v>411</v>
      </c>
      <c r="F54" s="5" t="str">
        <f>VLOOKUP(C54,key!A:P,4,FALSE)</f>
        <v>control</v>
      </c>
      <c r="G54" s="5">
        <f>VLOOKUP(C54,key!A:P,5,FALSE)</f>
        <v>3</v>
      </c>
      <c r="H54" s="5">
        <f>VLOOKUP(C54,key!A:N,14,FALSE)</f>
        <v>0</v>
      </c>
      <c r="I54" s="9">
        <v>62.6</v>
      </c>
      <c r="J54" s="5">
        <v>100</v>
      </c>
      <c r="K54" s="5">
        <f t="shared" si="0"/>
        <v>6260</v>
      </c>
      <c r="L54" s="8" t="str">
        <f t="shared" si="4"/>
        <v>20220109</v>
      </c>
      <c r="M54" s="8" t="str">
        <f t="shared" si="2"/>
        <v>Sam's RNA Box #2</v>
      </c>
      <c r="N54" s="5" t="s">
        <v>384</v>
      </c>
      <c r="O54" s="5" t="s">
        <v>385</v>
      </c>
    </row>
    <row r="55" spans="1:15" x14ac:dyDescent="0.25">
      <c r="A55" s="7" t="s">
        <v>381</v>
      </c>
      <c r="B55" s="10" t="s">
        <v>440</v>
      </c>
      <c r="C55" s="10" t="s">
        <v>216</v>
      </c>
      <c r="D55" s="10" t="s">
        <v>520</v>
      </c>
      <c r="E55" s="5" t="s">
        <v>411</v>
      </c>
      <c r="F55" s="5" t="str">
        <f>VLOOKUP(C55,key!A:P,4,FALSE)</f>
        <v>control</v>
      </c>
      <c r="G55" s="5">
        <f>VLOOKUP(C55,key!A:P,5,FALSE)</f>
        <v>3</v>
      </c>
      <c r="H55" s="5">
        <f>VLOOKUP(C55,key!A:N,14,FALSE)</f>
        <v>0</v>
      </c>
      <c r="I55" s="9">
        <v>31</v>
      </c>
      <c r="J55" s="5">
        <v>100</v>
      </c>
      <c r="K55" s="5">
        <f t="shared" si="0"/>
        <v>3100</v>
      </c>
      <c r="L55" s="8" t="str">
        <f t="shared" si="4"/>
        <v>20220109</v>
      </c>
      <c r="M55" s="8" t="str">
        <f t="shared" si="2"/>
        <v>Sam's RNA Box #2</v>
      </c>
      <c r="N55" s="5" t="s">
        <v>384</v>
      </c>
      <c r="O55" s="5" t="s">
        <v>385</v>
      </c>
    </row>
    <row r="56" spans="1:15" x14ac:dyDescent="0.25">
      <c r="A56" s="7" t="s">
        <v>381</v>
      </c>
      <c r="B56" s="10" t="s">
        <v>441</v>
      </c>
      <c r="C56" s="10" t="s">
        <v>217</v>
      </c>
      <c r="D56" s="10" t="s">
        <v>520</v>
      </c>
      <c r="E56" s="5" t="s">
        <v>411</v>
      </c>
      <c r="F56" s="5" t="str">
        <f>VLOOKUP(C56,key!A:P,4,FALSE)</f>
        <v>control</v>
      </c>
      <c r="G56" s="5">
        <f>VLOOKUP(C56,key!A:P,5,FALSE)</f>
        <v>3</v>
      </c>
      <c r="H56" s="5">
        <f>VLOOKUP(C56,key!A:N,14,FALSE)</f>
        <v>0</v>
      </c>
      <c r="I56" s="9">
        <v>94.8</v>
      </c>
      <c r="J56" s="5">
        <v>100</v>
      </c>
      <c r="K56" s="5">
        <f t="shared" si="0"/>
        <v>9480</v>
      </c>
      <c r="L56" s="8" t="str">
        <f t="shared" si="4"/>
        <v>20220109</v>
      </c>
      <c r="M56" s="8" t="str">
        <f t="shared" si="2"/>
        <v>Sam's RNA Box #2</v>
      </c>
      <c r="N56" s="5" t="s">
        <v>384</v>
      </c>
      <c r="O56" s="5" t="s">
        <v>385</v>
      </c>
    </row>
    <row r="57" spans="1:15" x14ac:dyDescent="0.25">
      <c r="A57" s="7" t="s">
        <v>381</v>
      </c>
      <c r="B57" s="10" t="s">
        <v>442</v>
      </c>
      <c r="C57" s="10" t="s">
        <v>218</v>
      </c>
      <c r="D57" s="10" t="s">
        <v>520</v>
      </c>
      <c r="E57" s="5" t="s">
        <v>411</v>
      </c>
      <c r="F57" s="5" t="str">
        <f>VLOOKUP(C57,key!A:P,4,FALSE)</f>
        <v>control</v>
      </c>
      <c r="G57" s="5">
        <f>VLOOKUP(C57,key!A:P,5,FALSE)</f>
        <v>3</v>
      </c>
      <c r="H57" s="5">
        <f>VLOOKUP(C57,key!A:N,14,FALSE)</f>
        <v>0</v>
      </c>
      <c r="I57" s="9">
        <v>56</v>
      </c>
      <c r="J57" s="5">
        <v>100</v>
      </c>
      <c r="K57" s="5">
        <f t="shared" si="0"/>
        <v>5600</v>
      </c>
      <c r="L57" s="8" t="str">
        <f t="shared" si="4"/>
        <v>20220109</v>
      </c>
      <c r="M57" s="8" t="str">
        <f t="shared" si="2"/>
        <v>Sam's RNA Box #2</v>
      </c>
      <c r="N57" s="5" t="s">
        <v>384</v>
      </c>
      <c r="O57" s="5" t="s">
        <v>385</v>
      </c>
    </row>
    <row r="58" spans="1:15" x14ac:dyDescent="0.25">
      <c r="A58" s="7" t="s">
        <v>381</v>
      </c>
      <c r="B58" s="10" t="s">
        <v>443</v>
      </c>
      <c r="C58" s="10" t="s">
        <v>219</v>
      </c>
      <c r="D58" s="10" t="s">
        <v>520</v>
      </c>
      <c r="E58" s="5" t="s">
        <v>411</v>
      </c>
      <c r="F58" s="5" t="str">
        <f>VLOOKUP(C58,key!A:P,4,FALSE)</f>
        <v>control</v>
      </c>
      <c r="G58" s="5">
        <f>VLOOKUP(C58,key!A:P,5,FALSE)</f>
        <v>3</v>
      </c>
      <c r="H58" s="5">
        <f>VLOOKUP(C58,key!A:N,14,FALSE)</f>
        <v>0</v>
      </c>
      <c r="I58" s="9">
        <v>32.6</v>
      </c>
      <c r="J58" s="5">
        <v>100</v>
      </c>
      <c r="K58" s="5">
        <f t="shared" si="0"/>
        <v>3260</v>
      </c>
      <c r="L58" s="8" t="str">
        <f t="shared" si="4"/>
        <v>20220109</v>
      </c>
      <c r="M58" s="8" t="str">
        <f t="shared" si="2"/>
        <v>Sam's RNA Box #2</v>
      </c>
      <c r="N58" s="5" t="s">
        <v>384</v>
      </c>
      <c r="O58" s="5" t="s">
        <v>385</v>
      </c>
    </row>
    <row r="59" spans="1:15" x14ac:dyDescent="0.25">
      <c r="A59" s="7" t="s">
        <v>381</v>
      </c>
      <c r="B59" s="10" t="s">
        <v>444</v>
      </c>
      <c r="C59" s="10" t="s">
        <v>220</v>
      </c>
      <c r="D59" s="10" t="s">
        <v>520</v>
      </c>
      <c r="E59" s="5" t="s">
        <v>411</v>
      </c>
      <c r="F59" s="5" t="str">
        <f>VLOOKUP(C59,key!A:P,4,FALSE)</f>
        <v>control</v>
      </c>
      <c r="G59" s="5">
        <f>VLOOKUP(C59,key!A:P,5,FALSE)</f>
        <v>3</v>
      </c>
      <c r="H59" s="5">
        <f>VLOOKUP(C59,key!A:N,14,FALSE)</f>
        <v>0</v>
      </c>
      <c r="I59" s="9">
        <v>44.2</v>
      </c>
      <c r="J59" s="5">
        <v>100</v>
      </c>
      <c r="K59" s="5">
        <f t="shared" si="0"/>
        <v>4420</v>
      </c>
      <c r="L59" s="8" t="str">
        <f t="shared" si="4"/>
        <v>20220109</v>
      </c>
      <c r="M59" s="8" t="str">
        <f t="shared" si="2"/>
        <v>Sam's RNA Box #2</v>
      </c>
      <c r="N59" s="5" t="s">
        <v>384</v>
      </c>
      <c r="O59" s="5" t="s">
        <v>385</v>
      </c>
    </row>
    <row r="60" spans="1:15" x14ac:dyDescent="0.25">
      <c r="A60" s="7" t="s">
        <v>381</v>
      </c>
      <c r="B60" s="10" t="s">
        <v>445</v>
      </c>
      <c r="C60" s="10" t="s">
        <v>221</v>
      </c>
      <c r="D60" s="10" t="s">
        <v>520</v>
      </c>
      <c r="E60" s="5" t="s">
        <v>411</v>
      </c>
      <c r="F60" s="5" t="str">
        <f>VLOOKUP(C60,key!A:P,4,FALSE)</f>
        <v>control</v>
      </c>
      <c r="G60" s="5">
        <f>VLOOKUP(C60,key!A:P,5,FALSE)</f>
        <v>3</v>
      </c>
      <c r="H60" s="5">
        <f>VLOOKUP(C60,key!A:N,14,FALSE)</f>
        <v>0</v>
      </c>
      <c r="I60" s="9">
        <v>48.6</v>
      </c>
      <c r="J60" s="5">
        <v>100</v>
      </c>
      <c r="K60" s="5">
        <f t="shared" si="0"/>
        <v>4860</v>
      </c>
      <c r="L60" s="8" t="str">
        <f t="shared" si="4"/>
        <v>20220109</v>
      </c>
      <c r="M60" s="8" t="str">
        <f t="shared" si="2"/>
        <v>Sam's RNA Box #2</v>
      </c>
      <c r="N60" s="5" t="s">
        <v>384</v>
      </c>
      <c r="O60" s="5" t="s">
        <v>385</v>
      </c>
    </row>
    <row r="61" spans="1:15" x14ac:dyDescent="0.25">
      <c r="A61" s="7" t="s">
        <v>381</v>
      </c>
      <c r="B61" s="10" t="s">
        <v>446</v>
      </c>
      <c r="C61" s="10" t="s">
        <v>222</v>
      </c>
      <c r="D61" s="10" t="s">
        <v>520</v>
      </c>
      <c r="E61" s="5" t="s">
        <v>411</v>
      </c>
      <c r="F61" s="5" t="str">
        <f>VLOOKUP(C61,key!A:P,4,FALSE)</f>
        <v>control</v>
      </c>
      <c r="G61" s="5">
        <f>VLOOKUP(C61,key!A:P,5,FALSE)</f>
        <v>3</v>
      </c>
      <c r="H61" s="5">
        <f>VLOOKUP(C61,key!A:N,14,FALSE)</f>
        <v>0</v>
      </c>
      <c r="I61" s="9">
        <v>20.2</v>
      </c>
      <c r="J61" s="5">
        <v>100</v>
      </c>
      <c r="K61" s="5">
        <f t="shared" si="0"/>
        <v>2020</v>
      </c>
      <c r="L61" s="8" t="str">
        <f t="shared" si="4"/>
        <v>20220109</v>
      </c>
      <c r="M61" s="8" t="str">
        <f t="shared" si="2"/>
        <v>Sam's RNA Box #2</v>
      </c>
      <c r="N61" s="5" t="s">
        <v>384</v>
      </c>
      <c r="O61" s="5" t="s">
        <v>385</v>
      </c>
    </row>
    <row r="62" spans="1:15" x14ac:dyDescent="0.25">
      <c r="A62" s="7" t="s">
        <v>381</v>
      </c>
      <c r="B62" s="10" t="s">
        <v>447</v>
      </c>
      <c r="C62" s="10" t="s">
        <v>182</v>
      </c>
      <c r="D62" s="10" t="s">
        <v>519</v>
      </c>
      <c r="E62" s="5" t="s">
        <v>398</v>
      </c>
      <c r="F62" s="5" t="str">
        <f>VLOOKUP(C62,key!A:P,4,FALSE)</f>
        <v>DO</v>
      </c>
      <c r="G62" s="5">
        <f>VLOOKUP(C62,key!A:P,5,FALSE)</f>
        <v>3</v>
      </c>
      <c r="H62" s="5">
        <f>VLOOKUP(C62,key!A:N,14,FALSE)</f>
        <v>0</v>
      </c>
      <c r="I62" s="9">
        <v>35.6</v>
      </c>
      <c r="J62" s="5">
        <v>100</v>
      </c>
      <c r="K62" s="5">
        <f t="shared" si="0"/>
        <v>3560</v>
      </c>
      <c r="L62" s="8" t="str">
        <f t="shared" si="4"/>
        <v>20220109</v>
      </c>
      <c r="M62" s="8" t="str">
        <f t="shared" si="2"/>
        <v>Sam's RNA Box #2</v>
      </c>
      <c r="N62" s="5" t="s">
        <v>384</v>
      </c>
      <c r="O62" s="5" t="s">
        <v>385</v>
      </c>
    </row>
    <row r="63" spans="1:15" x14ac:dyDescent="0.25">
      <c r="A63" s="7" t="s">
        <v>381</v>
      </c>
      <c r="B63" s="10" t="s">
        <v>448</v>
      </c>
      <c r="C63" s="10" t="s">
        <v>183</v>
      </c>
      <c r="D63" s="10" t="s">
        <v>519</v>
      </c>
      <c r="E63" s="5" t="s">
        <v>398</v>
      </c>
      <c r="F63" s="5" t="str">
        <f>VLOOKUP(C63,key!A:P,4,FALSE)</f>
        <v>DO</v>
      </c>
      <c r="G63" s="5">
        <f>VLOOKUP(C63,key!A:P,5,FALSE)</f>
        <v>3</v>
      </c>
      <c r="H63" s="5">
        <f>VLOOKUP(C63,key!A:N,14,FALSE)</f>
        <v>0</v>
      </c>
      <c r="I63" s="9">
        <v>29.8</v>
      </c>
      <c r="J63" s="5">
        <v>100</v>
      </c>
      <c r="K63" s="5">
        <f t="shared" si="0"/>
        <v>2980</v>
      </c>
      <c r="L63" s="8" t="str">
        <f t="shared" si="4"/>
        <v>20220109</v>
      </c>
      <c r="M63" s="8" t="str">
        <f t="shared" si="2"/>
        <v>Sam's RNA Box #2</v>
      </c>
      <c r="N63" s="5" t="s">
        <v>384</v>
      </c>
      <c r="O63" s="5" t="s">
        <v>385</v>
      </c>
    </row>
    <row r="64" spans="1:15" x14ac:dyDescent="0.25">
      <c r="A64" s="7" t="s">
        <v>381</v>
      </c>
      <c r="B64" s="10" t="s">
        <v>449</v>
      </c>
      <c r="C64" s="10" t="s">
        <v>184</v>
      </c>
      <c r="D64" s="10" t="s">
        <v>519</v>
      </c>
      <c r="E64" s="5" t="s">
        <v>398</v>
      </c>
      <c r="F64" s="5" t="str">
        <f>VLOOKUP(C64,key!A:P,4,FALSE)</f>
        <v>DO</v>
      </c>
      <c r="G64" s="5">
        <f>VLOOKUP(C64,key!A:P,5,FALSE)</f>
        <v>3</v>
      </c>
      <c r="H64" s="5">
        <f>VLOOKUP(C64,key!A:N,14,FALSE)</f>
        <v>0</v>
      </c>
      <c r="I64" s="9">
        <v>43.6</v>
      </c>
      <c r="J64" s="5">
        <v>100</v>
      </c>
      <c r="K64" s="5">
        <f t="shared" si="0"/>
        <v>4360</v>
      </c>
      <c r="L64" s="8" t="str">
        <f t="shared" si="4"/>
        <v>20220109</v>
      </c>
      <c r="M64" s="8" t="str">
        <f t="shared" si="2"/>
        <v>Sam's RNA Box #2</v>
      </c>
      <c r="N64" s="5" t="s">
        <v>384</v>
      </c>
      <c r="O64" s="5" t="s">
        <v>385</v>
      </c>
    </row>
    <row r="65" spans="1:15" x14ac:dyDescent="0.25">
      <c r="A65" s="7" t="s">
        <v>381</v>
      </c>
      <c r="B65" s="10" t="s">
        <v>450</v>
      </c>
      <c r="C65" s="10" t="s">
        <v>66</v>
      </c>
      <c r="D65" s="10" t="s">
        <v>519</v>
      </c>
      <c r="E65" s="5" t="s">
        <v>398</v>
      </c>
      <c r="F65" s="5" t="str">
        <f>VLOOKUP(C65,key!A:P,4,FALSE)</f>
        <v>DO</v>
      </c>
      <c r="G65" s="5">
        <f>VLOOKUP(C65,key!A:P,5,FALSE)</f>
        <v>3</v>
      </c>
      <c r="H65" s="5">
        <f>VLOOKUP(C65,key!A:N,14,FALSE)</f>
        <v>1</v>
      </c>
      <c r="I65" s="9">
        <v>21.8</v>
      </c>
      <c r="J65" s="5">
        <v>100</v>
      </c>
      <c r="K65" s="5">
        <f t="shared" si="0"/>
        <v>2180</v>
      </c>
      <c r="L65" s="8" t="str">
        <f t="shared" si="4"/>
        <v>20220109</v>
      </c>
      <c r="M65" s="8" t="str">
        <f t="shared" si="2"/>
        <v>Sam's RNA Box #2</v>
      </c>
      <c r="N65" s="5" t="s">
        <v>384</v>
      </c>
      <c r="O65" s="5" t="s">
        <v>385</v>
      </c>
    </row>
    <row r="66" spans="1:15" x14ac:dyDescent="0.25">
      <c r="A66" s="7" t="s">
        <v>381</v>
      </c>
      <c r="B66" s="10" t="s">
        <v>451</v>
      </c>
      <c r="C66" s="10" t="s">
        <v>67</v>
      </c>
      <c r="D66" s="10" t="s">
        <v>519</v>
      </c>
      <c r="E66" s="5" t="s">
        <v>398</v>
      </c>
      <c r="F66" s="5" t="str">
        <f>VLOOKUP(C66,key!A:P,4,FALSE)</f>
        <v>DO</v>
      </c>
      <c r="G66" s="5">
        <f>VLOOKUP(C66,key!A:P,5,FALSE)</f>
        <v>3</v>
      </c>
      <c r="H66" s="5">
        <f>VLOOKUP(C66,key!A:N,14,FALSE)</f>
        <v>1</v>
      </c>
      <c r="I66" s="5">
        <v>2.78</v>
      </c>
      <c r="J66" s="5">
        <v>100</v>
      </c>
      <c r="K66" s="5">
        <f t="shared" si="0"/>
        <v>278</v>
      </c>
      <c r="L66" s="8" t="str">
        <f t="shared" si="4"/>
        <v>20220109</v>
      </c>
      <c r="M66" s="8" t="str">
        <f t="shared" si="2"/>
        <v>Sam's RNA Box #2</v>
      </c>
      <c r="N66" s="5" t="s">
        <v>384</v>
      </c>
      <c r="O66" s="5" t="s">
        <v>385</v>
      </c>
    </row>
    <row r="67" spans="1:15" x14ac:dyDescent="0.25">
      <c r="A67" s="7" t="s">
        <v>381</v>
      </c>
      <c r="B67" s="10" t="s">
        <v>452</v>
      </c>
      <c r="C67" s="10" t="s">
        <v>69</v>
      </c>
      <c r="D67" s="10" t="s">
        <v>519</v>
      </c>
      <c r="E67" s="5" t="s">
        <v>398</v>
      </c>
      <c r="F67" s="5" t="str">
        <f>VLOOKUP(C67,key!A:P,4,FALSE)</f>
        <v>DO</v>
      </c>
      <c r="G67" s="5">
        <f>VLOOKUP(C67,key!A:P,5,FALSE)</f>
        <v>3</v>
      </c>
      <c r="H67" s="5">
        <f>VLOOKUP(C67,key!A:N,14,FALSE)</f>
        <v>1</v>
      </c>
      <c r="I67" s="9">
        <v>17.399999999999999</v>
      </c>
      <c r="J67" s="5">
        <v>100</v>
      </c>
      <c r="K67" s="5">
        <f t="shared" si="0"/>
        <v>1739.9999999999998</v>
      </c>
      <c r="L67" s="8" t="str">
        <f t="shared" si="4"/>
        <v>20220109</v>
      </c>
      <c r="M67" s="8" t="str">
        <f t="shared" si="2"/>
        <v>Sam's RNA Box #2</v>
      </c>
      <c r="N67" s="5" t="s">
        <v>384</v>
      </c>
      <c r="O67" s="5" t="s">
        <v>385</v>
      </c>
    </row>
    <row r="68" spans="1:15" x14ac:dyDescent="0.25">
      <c r="A68" s="7" t="s">
        <v>381</v>
      </c>
      <c r="B68" s="10" t="s">
        <v>453</v>
      </c>
      <c r="C68" s="10" t="s">
        <v>71</v>
      </c>
      <c r="D68" s="10" t="s">
        <v>519</v>
      </c>
      <c r="E68" s="5" t="s">
        <v>398</v>
      </c>
      <c r="F68" s="5" t="str">
        <f>VLOOKUP(C68,key!A:P,4,FALSE)</f>
        <v>DO</v>
      </c>
      <c r="G68" s="5">
        <f>VLOOKUP(C68,key!A:P,5,FALSE)</f>
        <v>3</v>
      </c>
      <c r="H68" s="5">
        <f>VLOOKUP(C68,key!A:N,14,FALSE)</f>
        <v>1</v>
      </c>
      <c r="I68" s="9">
        <v>124</v>
      </c>
      <c r="J68" s="5">
        <v>100</v>
      </c>
      <c r="K68" s="5">
        <f t="shared" si="0"/>
        <v>12400</v>
      </c>
      <c r="L68" s="8" t="str">
        <f t="shared" si="4"/>
        <v>20220109</v>
      </c>
      <c r="M68" s="8" t="str">
        <f t="shared" si="2"/>
        <v>Sam's RNA Box #2</v>
      </c>
      <c r="N68" s="5" t="s">
        <v>384</v>
      </c>
      <c r="O68" s="5" t="s">
        <v>385</v>
      </c>
    </row>
    <row r="69" spans="1:15" x14ac:dyDescent="0.25">
      <c r="A69" s="7" t="s">
        <v>381</v>
      </c>
      <c r="B69" s="10" t="s">
        <v>454</v>
      </c>
      <c r="C69" s="10" t="s">
        <v>72</v>
      </c>
      <c r="D69" s="10" t="s">
        <v>519</v>
      </c>
      <c r="E69" s="5" t="s">
        <v>398</v>
      </c>
      <c r="F69" s="5" t="str">
        <f>VLOOKUP(C69,key!A:P,4,FALSE)</f>
        <v>DO</v>
      </c>
      <c r="G69" s="5">
        <f>VLOOKUP(C69,key!A:P,5,FALSE)</f>
        <v>3</v>
      </c>
      <c r="H69" s="5">
        <f>VLOOKUP(C69,key!A:N,14,FALSE)</f>
        <v>1</v>
      </c>
      <c r="I69" s="9">
        <v>37</v>
      </c>
      <c r="J69" s="5">
        <v>100</v>
      </c>
      <c r="K69" s="5">
        <f t="shared" si="0"/>
        <v>3700</v>
      </c>
      <c r="L69" s="8" t="str">
        <f t="shared" si="4"/>
        <v>20220109</v>
      </c>
      <c r="M69" s="8" t="str">
        <f t="shared" ref="M69:M133" si="5">HYPERLINK("https://docs.google.com/spreadsheets/d/1j9jm3b91IkVfG0EsSjQpR--t2R97YXEQPaOFqsOqjhc/edit?usp=sharing", "Sam's RNA Box #3")</f>
        <v>Sam's RNA Box #3</v>
      </c>
      <c r="N69" s="5" t="s">
        <v>384</v>
      </c>
      <c r="O69" s="5" t="s">
        <v>385</v>
      </c>
    </row>
    <row r="70" spans="1:15" x14ac:dyDescent="0.25">
      <c r="A70" s="7" t="s">
        <v>381</v>
      </c>
      <c r="B70" s="10" t="s">
        <v>455</v>
      </c>
      <c r="C70" s="10" t="s">
        <v>75</v>
      </c>
      <c r="D70" s="10" t="s">
        <v>519</v>
      </c>
      <c r="E70" s="5" t="s">
        <v>398</v>
      </c>
      <c r="F70" s="5" t="str">
        <f>VLOOKUP(C70,key!A:P,4,FALSE)</f>
        <v>DO</v>
      </c>
      <c r="G70" s="5">
        <f>VLOOKUP(C70,key!A:P,5,FALSE)</f>
        <v>3</v>
      </c>
      <c r="H70" s="5">
        <f>VLOOKUP(C70,key!A:N,14,FALSE)</f>
        <v>1</v>
      </c>
      <c r="I70" s="9">
        <v>32.6</v>
      </c>
      <c r="J70" s="5">
        <v>100</v>
      </c>
      <c r="K70" s="5">
        <f t="shared" si="0"/>
        <v>3260</v>
      </c>
      <c r="L70" s="8" t="str">
        <f t="shared" si="4"/>
        <v>20220109</v>
      </c>
      <c r="M70" s="8" t="str">
        <f t="shared" si="5"/>
        <v>Sam's RNA Box #3</v>
      </c>
      <c r="N70" s="5" t="s">
        <v>384</v>
      </c>
      <c r="O70" s="5" t="s">
        <v>385</v>
      </c>
    </row>
    <row r="71" spans="1:15" x14ac:dyDescent="0.25">
      <c r="A71" s="7" t="s">
        <v>381</v>
      </c>
      <c r="B71" s="10" t="s">
        <v>456</v>
      </c>
      <c r="C71" s="10" t="s">
        <v>76</v>
      </c>
      <c r="D71" s="10" t="s">
        <v>519</v>
      </c>
      <c r="E71" s="5" t="s">
        <v>398</v>
      </c>
      <c r="F71" s="5" t="str">
        <f>VLOOKUP(C71,key!A:P,4,FALSE)</f>
        <v>DO</v>
      </c>
      <c r="G71" s="5">
        <f>VLOOKUP(C71,key!A:P,5,FALSE)</f>
        <v>3</v>
      </c>
      <c r="H71" s="5">
        <f>VLOOKUP(C71,key!A:N,14,FALSE)</f>
        <v>1</v>
      </c>
      <c r="I71" s="9">
        <v>64.400000000000006</v>
      </c>
      <c r="J71" s="5">
        <v>100</v>
      </c>
      <c r="K71" s="5">
        <f t="shared" si="0"/>
        <v>6440.0000000000009</v>
      </c>
      <c r="L71" s="8" t="str">
        <f t="shared" si="4"/>
        <v>20220109</v>
      </c>
      <c r="M71" s="8" t="str">
        <f t="shared" si="5"/>
        <v>Sam's RNA Box #3</v>
      </c>
      <c r="N71" s="5" t="s">
        <v>384</v>
      </c>
      <c r="O71" s="5" t="s">
        <v>385</v>
      </c>
    </row>
    <row r="72" spans="1:15" x14ac:dyDescent="0.25">
      <c r="A72" s="7" t="s">
        <v>381</v>
      </c>
      <c r="B72" s="10" t="s">
        <v>457</v>
      </c>
      <c r="C72" s="10" t="s">
        <v>77</v>
      </c>
      <c r="D72" s="10" t="s">
        <v>519</v>
      </c>
      <c r="E72" s="5" t="s">
        <v>398</v>
      </c>
      <c r="F72" s="5" t="str">
        <f>VLOOKUP(C72,key!A:P,4,FALSE)</f>
        <v>DO</v>
      </c>
      <c r="G72" s="5">
        <f>VLOOKUP(C72,key!A:P,5,FALSE)</f>
        <v>3</v>
      </c>
      <c r="H72" s="5">
        <f>VLOOKUP(C72,key!A:N,14,FALSE)</f>
        <v>1</v>
      </c>
      <c r="I72" s="9">
        <v>91.2</v>
      </c>
      <c r="J72" s="5">
        <v>100</v>
      </c>
      <c r="K72" s="5">
        <f t="shared" si="0"/>
        <v>9120</v>
      </c>
      <c r="L72" s="8" t="str">
        <f t="shared" si="4"/>
        <v>20220109</v>
      </c>
      <c r="M72" s="8" t="str">
        <f t="shared" si="5"/>
        <v>Sam's RNA Box #3</v>
      </c>
      <c r="N72" s="5" t="s">
        <v>384</v>
      </c>
      <c r="O72" s="5" t="s">
        <v>385</v>
      </c>
    </row>
    <row r="73" spans="1:15" x14ac:dyDescent="0.25">
      <c r="A73" s="7" t="s">
        <v>381</v>
      </c>
      <c r="B73" s="10" t="s">
        <v>458</v>
      </c>
      <c r="C73" s="10" t="s">
        <v>78</v>
      </c>
      <c r="D73" s="10" t="s">
        <v>519</v>
      </c>
      <c r="E73" s="5" t="s">
        <v>398</v>
      </c>
      <c r="F73" s="5" t="str">
        <f>VLOOKUP(C73,key!A:P,4,FALSE)</f>
        <v>DO</v>
      </c>
      <c r="G73" s="5">
        <f>VLOOKUP(C73,key!A:P,5,FALSE)</f>
        <v>3</v>
      </c>
      <c r="H73" s="5">
        <f>VLOOKUP(C73,key!A:N,14,FALSE)</f>
        <v>1</v>
      </c>
      <c r="I73" s="9">
        <v>28</v>
      </c>
      <c r="J73" s="5">
        <v>100</v>
      </c>
      <c r="K73" s="5">
        <f t="shared" si="0"/>
        <v>2800</v>
      </c>
      <c r="L73" s="8" t="str">
        <f t="shared" si="4"/>
        <v>20220109</v>
      </c>
      <c r="M73" s="8" t="str">
        <f t="shared" si="5"/>
        <v>Sam's RNA Box #3</v>
      </c>
      <c r="N73" s="5" t="s">
        <v>384</v>
      </c>
      <c r="O73" s="5" t="s">
        <v>385</v>
      </c>
    </row>
    <row r="74" spans="1:15" x14ac:dyDescent="0.25">
      <c r="A74" s="7" t="s">
        <v>381</v>
      </c>
      <c r="B74" s="10" t="s">
        <v>459</v>
      </c>
      <c r="C74" s="10" t="s">
        <v>182</v>
      </c>
      <c r="D74" s="10" t="s">
        <v>520</v>
      </c>
      <c r="E74" s="5" t="s">
        <v>411</v>
      </c>
      <c r="F74" s="5" t="str">
        <f>VLOOKUP(C74,key!A:P,4,FALSE)</f>
        <v>DO</v>
      </c>
      <c r="G74" s="5">
        <f>VLOOKUP(C74,key!A:P,5,FALSE)</f>
        <v>3</v>
      </c>
      <c r="H74" s="5">
        <f>VLOOKUP(C74,key!A:N,14,FALSE)</f>
        <v>0</v>
      </c>
      <c r="I74" s="9">
        <v>42.2</v>
      </c>
      <c r="J74" s="5">
        <v>100</v>
      </c>
      <c r="K74" s="5">
        <f t="shared" si="0"/>
        <v>4220</v>
      </c>
      <c r="L74" s="8" t="str">
        <f t="shared" si="4"/>
        <v>20220109</v>
      </c>
      <c r="M74" s="8" t="str">
        <f t="shared" si="5"/>
        <v>Sam's RNA Box #3</v>
      </c>
      <c r="N74" s="5" t="s">
        <v>384</v>
      </c>
      <c r="O74" s="5" t="s">
        <v>385</v>
      </c>
    </row>
    <row r="75" spans="1:15" x14ac:dyDescent="0.25">
      <c r="A75" s="7" t="s">
        <v>381</v>
      </c>
      <c r="B75" s="10" t="s">
        <v>460</v>
      </c>
      <c r="C75" s="10" t="s">
        <v>183</v>
      </c>
      <c r="D75" s="10" t="s">
        <v>520</v>
      </c>
      <c r="E75" s="5" t="s">
        <v>411</v>
      </c>
      <c r="F75" s="5" t="str">
        <f>VLOOKUP(C75,key!A:P,4,FALSE)</f>
        <v>DO</v>
      </c>
      <c r="G75" s="5">
        <f>VLOOKUP(C75,key!A:P,5,FALSE)</f>
        <v>3</v>
      </c>
      <c r="H75" s="5">
        <f>VLOOKUP(C75,key!A:N,14,FALSE)</f>
        <v>0</v>
      </c>
      <c r="I75" s="9">
        <v>40.6</v>
      </c>
      <c r="J75" s="5">
        <v>100</v>
      </c>
      <c r="K75" s="5">
        <f t="shared" si="0"/>
        <v>4060</v>
      </c>
      <c r="L75" s="8" t="str">
        <f t="shared" si="4"/>
        <v>20220109</v>
      </c>
      <c r="M75" s="8" t="str">
        <f t="shared" si="5"/>
        <v>Sam's RNA Box #3</v>
      </c>
      <c r="N75" s="5" t="s">
        <v>384</v>
      </c>
      <c r="O75" s="5" t="s">
        <v>385</v>
      </c>
    </row>
    <row r="76" spans="1:15" x14ac:dyDescent="0.25">
      <c r="A76" s="7" t="s">
        <v>381</v>
      </c>
      <c r="B76" s="10" t="s">
        <v>461</v>
      </c>
      <c r="C76" s="10" t="s">
        <v>184</v>
      </c>
      <c r="D76" s="10" t="s">
        <v>520</v>
      </c>
      <c r="E76" s="5" t="s">
        <v>411</v>
      </c>
      <c r="F76" s="5" t="str">
        <f>VLOOKUP(C76,key!A:P,4,FALSE)</f>
        <v>DO</v>
      </c>
      <c r="G76" s="5">
        <f>VLOOKUP(C76,key!A:P,5,FALSE)</f>
        <v>3</v>
      </c>
      <c r="H76" s="5">
        <f>VLOOKUP(C76,key!A:N,14,FALSE)</f>
        <v>0</v>
      </c>
      <c r="I76" s="9">
        <v>24.2</v>
      </c>
      <c r="J76" s="5">
        <v>100</v>
      </c>
      <c r="K76" s="5">
        <f t="shared" si="0"/>
        <v>2420</v>
      </c>
      <c r="L76" s="8" t="str">
        <f t="shared" si="4"/>
        <v>20220109</v>
      </c>
      <c r="M76" s="8" t="str">
        <f t="shared" si="5"/>
        <v>Sam's RNA Box #3</v>
      </c>
      <c r="N76" s="5" t="s">
        <v>384</v>
      </c>
      <c r="O76" s="5" t="s">
        <v>385</v>
      </c>
    </row>
    <row r="77" spans="1:15" x14ac:dyDescent="0.25">
      <c r="A77" s="7" t="s">
        <v>381</v>
      </c>
      <c r="B77" s="10" t="s">
        <v>462</v>
      </c>
      <c r="C77" s="10" t="s">
        <v>66</v>
      </c>
      <c r="D77" s="10" t="s">
        <v>520</v>
      </c>
      <c r="E77" s="5" t="s">
        <v>411</v>
      </c>
      <c r="F77" s="5" t="str">
        <f>VLOOKUP(C77,key!A:P,4,FALSE)</f>
        <v>DO</v>
      </c>
      <c r="G77" s="5">
        <f>VLOOKUP(C77,key!A:P,5,FALSE)</f>
        <v>3</v>
      </c>
      <c r="H77" s="5">
        <f>VLOOKUP(C77,key!A:N,14,FALSE)</f>
        <v>1</v>
      </c>
      <c r="I77" s="9">
        <v>19.8</v>
      </c>
      <c r="J77" s="5">
        <v>100</v>
      </c>
      <c r="K77" s="5">
        <f t="shared" si="0"/>
        <v>1980</v>
      </c>
      <c r="L77" s="8" t="str">
        <f t="shared" si="4"/>
        <v>20220109</v>
      </c>
      <c r="M77" s="8" t="str">
        <f t="shared" si="5"/>
        <v>Sam's RNA Box #3</v>
      </c>
      <c r="N77" s="5" t="s">
        <v>384</v>
      </c>
      <c r="O77" s="5" t="s">
        <v>385</v>
      </c>
    </row>
    <row r="78" spans="1:15" x14ac:dyDescent="0.25">
      <c r="A78" s="7" t="s">
        <v>381</v>
      </c>
      <c r="B78" s="10" t="s">
        <v>463</v>
      </c>
      <c r="C78" s="10" t="s">
        <v>67</v>
      </c>
      <c r="D78" s="10" t="s">
        <v>520</v>
      </c>
      <c r="E78" s="5" t="s">
        <v>411</v>
      </c>
      <c r="F78" s="5" t="str">
        <f>VLOOKUP(C78,key!A:P,4,FALSE)</f>
        <v>DO</v>
      </c>
      <c r="G78" s="5">
        <f>VLOOKUP(C78,key!A:P,5,FALSE)</f>
        <v>3</v>
      </c>
      <c r="H78" s="5">
        <f>VLOOKUP(C78,key!A:N,14,FALSE)</f>
        <v>1</v>
      </c>
      <c r="I78" s="9">
        <v>47.8</v>
      </c>
      <c r="J78" s="5">
        <v>100</v>
      </c>
      <c r="K78" s="5">
        <f t="shared" si="0"/>
        <v>4780</v>
      </c>
      <c r="L78" s="8" t="str">
        <f t="shared" si="4"/>
        <v>20220109</v>
      </c>
      <c r="M78" s="8" t="str">
        <f t="shared" si="5"/>
        <v>Sam's RNA Box #3</v>
      </c>
      <c r="N78" s="5" t="s">
        <v>384</v>
      </c>
      <c r="O78" s="5" t="s">
        <v>385</v>
      </c>
    </row>
    <row r="79" spans="1:15" x14ac:dyDescent="0.25">
      <c r="A79" s="7" t="s">
        <v>381</v>
      </c>
      <c r="B79" s="10" t="s">
        <v>464</v>
      </c>
      <c r="C79" s="10" t="s">
        <v>69</v>
      </c>
      <c r="D79" s="10" t="s">
        <v>520</v>
      </c>
      <c r="E79" s="5" t="s">
        <v>411</v>
      </c>
      <c r="F79" s="5" t="str">
        <f>VLOOKUP(C79,key!A:P,4,FALSE)</f>
        <v>DO</v>
      </c>
      <c r="G79" s="5">
        <f>VLOOKUP(C79,key!A:P,5,FALSE)</f>
        <v>3</v>
      </c>
      <c r="H79" s="5">
        <f>VLOOKUP(C79,key!A:N,14,FALSE)</f>
        <v>1</v>
      </c>
      <c r="I79" s="9">
        <v>56.6</v>
      </c>
      <c r="J79" s="5">
        <v>100</v>
      </c>
      <c r="K79" s="5">
        <f t="shared" si="0"/>
        <v>5660</v>
      </c>
      <c r="L79" s="8" t="str">
        <f t="shared" si="4"/>
        <v>20220109</v>
      </c>
      <c r="M79" s="8" t="str">
        <f t="shared" si="5"/>
        <v>Sam's RNA Box #3</v>
      </c>
      <c r="N79" s="5" t="s">
        <v>384</v>
      </c>
      <c r="O79" s="5" t="s">
        <v>385</v>
      </c>
    </row>
    <row r="80" spans="1:15" x14ac:dyDescent="0.25">
      <c r="A80" s="7" t="s">
        <v>381</v>
      </c>
      <c r="B80" s="10" t="s">
        <v>465</v>
      </c>
      <c r="C80" s="10" t="s">
        <v>71</v>
      </c>
      <c r="D80" s="10" t="s">
        <v>520</v>
      </c>
      <c r="E80" s="5" t="s">
        <v>411</v>
      </c>
      <c r="F80" s="5" t="str">
        <f>VLOOKUP(C80,key!A:P,4,FALSE)</f>
        <v>DO</v>
      </c>
      <c r="G80" s="5">
        <f>VLOOKUP(C80,key!A:P,5,FALSE)</f>
        <v>3</v>
      </c>
      <c r="H80" s="5">
        <f>VLOOKUP(C80,key!A:N,14,FALSE)</f>
        <v>1</v>
      </c>
      <c r="I80" s="9">
        <v>8.48</v>
      </c>
      <c r="J80" s="5">
        <v>100</v>
      </c>
      <c r="K80" s="5">
        <f t="shared" si="0"/>
        <v>848</v>
      </c>
      <c r="L80" s="8" t="str">
        <f t="shared" si="4"/>
        <v>20220109</v>
      </c>
      <c r="M80" s="8" t="str">
        <f t="shared" si="5"/>
        <v>Sam's RNA Box #3</v>
      </c>
      <c r="N80" s="5" t="s">
        <v>384</v>
      </c>
      <c r="O80" s="5" t="s">
        <v>385</v>
      </c>
    </row>
    <row r="81" spans="1:15" x14ac:dyDescent="0.25">
      <c r="A81" s="7" t="s">
        <v>381</v>
      </c>
      <c r="B81" s="10" t="s">
        <v>466</v>
      </c>
      <c r="C81" s="10" t="s">
        <v>72</v>
      </c>
      <c r="D81" s="10" t="s">
        <v>520</v>
      </c>
      <c r="E81" s="5" t="s">
        <v>411</v>
      </c>
      <c r="F81" s="5" t="str">
        <f>VLOOKUP(C81,key!A:P,4,FALSE)</f>
        <v>DO</v>
      </c>
      <c r="G81" s="5">
        <f>VLOOKUP(C81,key!A:P,5,FALSE)</f>
        <v>3</v>
      </c>
      <c r="H81" s="5">
        <f>VLOOKUP(C81,key!A:N,14,FALSE)</f>
        <v>1</v>
      </c>
      <c r="I81" s="9">
        <v>57.6</v>
      </c>
      <c r="J81" s="5">
        <v>100</v>
      </c>
      <c r="K81" s="5">
        <f t="shared" si="0"/>
        <v>5760</v>
      </c>
      <c r="L81" s="8" t="str">
        <f t="shared" si="4"/>
        <v>20220109</v>
      </c>
      <c r="M81" s="8" t="str">
        <f t="shared" si="5"/>
        <v>Sam's RNA Box #3</v>
      </c>
      <c r="N81" s="5" t="s">
        <v>384</v>
      </c>
      <c r="O81" s="5" t="s">
        <v>385</v>
      </c>
    </row>
    <row r="82" spans="1:15" x14ac:dyDescent="0.25">
      <c r="A82" s="7" t="s">
        <v>381</v>
      </c>
      <c r="B82" s="10" t="s">
        <v>467</v>
      </c>
      <c r="C82" s="10" t="s">
        <v>75</v>
      </c>
      <c r="D82" s="10" t="s">
        <v>520</v>
      </c>
      <c r="E82" s="5" t="s">
        <v>411</v>
      </c>
      <c r="F82" s="5" t="str">
        <f>VLOOKUP(C82,key!A:P,4,FALSE)</f>
        <v>DO</v>
      </c>
      <c r="G82" s="5">
        <f>VLOOKUP(C82,key!A:P,5,FALSE)</f>
        <v>3</v>
      </c>
      <c r="H82" s="5">
        <f>VLOOKUP(C82,key!A:N,14,FALSE)</f>
        <v>1</v>
      </c>
      <c r="I82" s="9">
        <v>56.2</v>
      </c>
      <c r="J82" s="5">
        <v>100</v>
      </c>
      <c r="K82" s="5">
        <f t="shared" si="0"/>
        <v>5620</v>
      </c>
      <c r="L82" s="8" t="str">
        <f t="shared" si="4"/>
        <v>20220109</v>
      </c>
      <c r="M82" s="8" t="str">
        <f t="shared" si="5"/>
        <v>Sam's RNA Box #3</v>
      </c>
      <c r="N82" s="5" t="s">
        <v>384</v>
      </c>
      <c r="O82" s="5" t="s">
        <v>385</v>
      </c>
    </row>
    <row r="83" spans="1:15" x14ac:dyDescent="0.25">
      <c r="A83" s="7" t="s">
        <v>381</v>
      </c>
      <c r="B83" s="10" t="s">
        <v>468</v>
      </c>
      <c r="C83" s="10" t="s">
        <v>76</v>
      </c>
      <c r="D83" s="10" t="s">
        <v>520</v>
      </c>
      <c r="E83" s="5" t="s">
        <v>411</v>
      </c>
      <c r="F83" s="5" t="str">
        <f>VLOOKUP(C83,key!A:P,4,FALSE)</f>
        <v>DO</v>
      </c>
      <c r="G83" s="5">
        <f>VLOOKUP(C83,key!A:P,5,FALSE)</f>
        <v>3</v>
      </c>
      <c r="H83" s="5">
        <f>VLOOKUP(C83,key!A:N,14,FALSE)</f>
        <v>1</v>
      </c>
      <c r="I83" s="9">
        <v>102</v>
      </c>
      <c r="J83" s="5">
        <v>100</v>
      </c>
      <c r="K83" s="5">
        <f t="shared" si="0"/>
        <v>10200</v>
      </c>
      <c r="L83" s="8" t="str">
        <f t="shared" si="4"/>
        <v>20220109</v>
      </c>
      <c r="M83" s="8" t="str">
        <f t="shared" si="5"/>
        <v>Sam's RNA Box #3</v>
      </c>
      <c r="N83" s="5" t="s">
        <v>384</v>
      </c>
      <c r="O83" s="5" t="s">
        <v>385</v>
      </c>
    </row>
    <row r="84" spans="1:15" x14ac:dyDescent="0.25">
      <c r="A84" s="7" t="s">
        <v>381</v>
      </c>
      <c r="B84" s="10" t="s">
        <v>469</v>
      </c>
      <c r="C84" s="10" t="s">
        <v>77</v>
      </c>
      <c r="D84" s="10" t="s">
        <v>520</v>
      </c>
      <c r="E84" s="5" t="s">
        <v>411</v>
      </c>
      <c r="F84" s="5" t="str">
        <f>VLOOKUP(C84,key!A:P,4,FALSE)</f>
        <v>DO</v>
      </c>
      <c r="G84" s="5">
        <f>VLOOKUP(C84,key!A:P,5,FALSE)</f>
        <v>3</v>
      </c>
      <c r="H84" s="5">
        <f>VLOOKUP(C84,key!A:N,14,FALSE)</f>
        <v>1</v>
      </c>
      <c r="I84" s="9">
        <v>112</v>
      </c>
      <c r="J84" s="5">
        <v>100</v>
      </c>
      <c r="K84" s="5">
        <f t="shared" si="0"/>
        <v>11200</v>
      </c>
      <c r="L84" s="8" t="str">
        <f t="shared" si="4"/>
        <v>20220109</v>
      </c>
      <c r="M84" s="8" t="str">
        <f t="shared" si="5"/>
        <v>Sam's RNA Box #3</v>
      </c>
      <c r="N84" s="5" t="s">
        <v>384</v>
      </c>
      <c r="O84" s="5" t="s">
        <v>385</v>
      </c>
    </row>
    <row r="85" spans="1:15" x14ac:dyDescent="0.25">
      <c r="A85" s="7" t="s">
        <v>381</v>
      </c>
      <c r="B85" s="10" t="s">
        <v>470</v>
      </c>
      <c r="C85" s="10" t="s">
        <v>78</v>
      </c>
      <c r="D85" s="10" t="s">
        <v>520</v>
      </c>
      <c r="E85" s="5" t="s">
        <v>411</v>
      </c>
      <c r="F85" s="5" t="str">
        <f>VLOOKUP(C85,key!A:P,4,FALSE)</f>
        <v>DO</v>
      </c>
      <c r="G85" s="5">
        <f>VLOOKUP(C85,key!A:P,5,FALSE)</f>
        <v>3</v>
      </c>
      <c r="H85" s="5">
        <f>VLOOKUP(C85,key!A:N,14,FALSE)</f>
        <v>1</v>
      </c>
      <c r="I85" s="9">
        <v>96.4</v>
      </c>
      <c r="J85" s="5">
        <v>100</v>
      </c>
      <c r="K85" s="5">
        <f t="shared" si="0"/>
        <v>9640</v>
      </c>
      <c r="L85" s="8" t="str">
        <f t="shared" si="4"/>
        <v>20220109</v>
      </c>
      <c r="M85" s="8" t="str">
        <f t="shared" si="5"/>
        <v>Sam's RNA Box #3</v>
      </c>
      <c r="N85" s="5" t="s">
        <v>384</v>
      </c>
      <c r="O85" s="5" t="s">
        <v>385</v>
      </c>
    </row>
    <row r="86" spans="1:15" x14ac:dyDescent="0.25">
      <c r="A86" s="7" t="s">
        <v>381</v>
      </c>
      <c r="B86" s="10" t="s">
        <v>471</v>
      </c>
      <c r="C86" s="10" t="s">
        <v>190</v>
      </c>
      <c r="D86" s="10" t="s">
        <v>519</v>
      </c>
      <c r="E86" s="5" t="s">
        <v>398</v>
      </c>
      <c r="F86" s="5" t="str">
        <f>VLOOKUP(C86,key!A:P,4,FALSE)</f>
        <v>OA</v>
      </c>
      <c r="G86" s="5">
        <f>VLOOKUP(C86,key!A:P,5,FALSE)</f>
        <v>3</v>
      </c>
      <c r="H86" s="5">
        <f>VLOOKUP(C86,key!A:N,14,FALSE)</f>
        <v>0</v>
      </c>
      <c r="I86" s="9">
        <v>150</v>
      </c>
      <c r="J86" s="5">
        <v>25</v>
      </c>
      <c r="K86" s="5">
        <f t="shared" si="0"/>
        <v>3750</v>
      </c>
      <c r="L86" s="8" t="str">
        <f t="shared" ref="L86:L103" si="6">HYPERLINK("https://robertslab.github.io/sams-notebook/2022/01/10/RNA-Isolation-M.trossulus-Gill-and-Phenol-Gland.html", "20220110")</f>
        <v>20220110</v>
      </c>
      <c r="M86" s="8" t="str">
        <f t="shared" si="5"/>
        <v>Sam's RNA Box #3</v>
      </c>
      <c r="N86" s="5" t="s">
        <v>384</v>
      </c>
      <c r="O86" s="5" t="s">
        <v>385</v>
      </c>
    </row>
    <row r="87" spans="1:15" x14ac:dyDescent="0.25">
      <c r="A87" s="7" t="s">
        <v>381</v>
      </c>
      <c r="B87" s="10" t="s">
        <v>472</v>
      </c>
      <c r="C87" s="10" t="s">
        <v>196</v>
      </c>
      <c r="D87" s="10" t="s">
        <v>519</v>
      </c>
      <c r="E87" s="5" t="s">
        <v>398</v>
      </c>
      <c r="F87" s="5" t="str">
        <f>VLOOKUP(C87,key!A:P,4,FALSE)</f>
        <v>OA</v>
      </c>
      <c r="G87" s="5">
        <f>VLOOKUP(C87,key!A:P,5,FALSE)</f>
        <v>3</v>
      </c>
      <c r="H87" s="5">
        <f>VLOOKUP(C87,key!A:N,14,FALSE)</f>
        <v>0</v>
      </c>
      <c r="I87" s="9">
        <v>96</v>
      </c>
      <c r="J87" s="5">
        <v>100</v>
      </c>
      <c r="K87" s="5">
        <f t="shared" si="0"/>
        <v>9600</v>
      </c>
      <c r="L87" s="8" t="str">
        <f t="shared" si="6"/>
        <v>20220110</v>
      </c>
      <c r="M87" s="8" t="str">
        <f t="shared" si="5"/>
        <v>Sam's RNA Box #3</v>
      </c>
      <c r="N87" s="5" t="s">
        <v>384</v>
      </c>
      <c r="O87" s="5" t="s">
        <v>385</v>
      </c>
    </row>
    <row r="88" spans="1:15" x14ac:dyDescent="0.25">
      <c r="A88" s="7" t="s">
        <v>381</v>
      </c>
      <c r="B88" s="10" t="s">
        <v>473</v>
      </c>
      <c r="C88" s="10" t="s">
        <v>32</v>
      </c>
      <c r="D88" s="10" t="s">
        <v>519</v>
      </c>
      <c r="E88" s="5" t="s">
        <v>398</v>
      </c>
      <c r="F88" s="5" t="str">
        <f>VLOOKUP(C88,key!A:P,4,FALSE)</f>
        <v>OA</v>
      </c>
      <c r="G88" s="5">
        <f>VLOOKUP(C88,key!A:P,5,FALSE)</f>
        <v>3</v>
      </c>
      <c r="H88" s="5">
        <f>VLOOKUP(C88,key!A:N,14,FALSE)</f>
        <v>1</v>
      </c>
      <c r="I88" s="9">
        <v>29.4</v>
      </c>
      <c r="J88" s="5">
        <v>100</v>
      </c>
      <c r="K88" s="5">
        <f t="shared" si="0"/>
        <v>2940</v>
      </c>
      <c r="L88" s="8" t="str">
        <f t="shared" si="6"/>
        <v>20220110</v>
      </c>
      <c r="M88" s="8" t="str">
        <f t="shared" si="5"/>
        <v>Sam's RNA Box #3</v>
      </c>
      <c r="N88" s="5" t="s">
        <v>384</v>
      </c>
      <c r="O88" s="5" t="s">
        <v>385</v>
      </c>
    </row>
    <row r="89" spans="1:15" x14ac:dyDescent="0.25">
      <c r="A89" s="7" t="s">
        <v>381</v>
      </c>
      <c r="B89" s="10" t="s">
        <v>474</v>
      </c>
      <c r="C89" s="10" t="s">
        <v>33</v>
      </c>
      <c r="D89" s="10" t="s">
        <v>519</v>
      </c>
      <c r="E89" s="5" t="s">
        <v>398</v>
      </c>
      <c r="F89" s="5" t="str">
        <f>VLOOKUP(C89,key!A:P,4,FALSE)</f>
        <v>OA</v>
      </c>
      <c r="G89" s="5">
        <f>VLOOKUP(C89,key!A:P,5,FALSE)</f>
        <v>3</v>
      </c>
      <c r="H89" s="5">
        <f>VLOOKUP(C89,key!A:N,14,FALSE)</f>
        <v>1</v>
      </c>
      <c r="I89" s="9">
        <v>45.8</v>
      </c>
      <c r="J89" s="5">
        <v>100</v>
      </c>
      <c r="K89" s="5">
        <f t="shared" si="0"/>
        <v>4580</v>
      </c>
      <c r="L89" s="8" t="str">
        <f t="shared" si="6"/>
        <v>20220110</v>
      </c>
      <c r="M89" s="8" t="str">
        <f t="shared" si="5"/>
        <v>Sam's RNA Box #3</v>
      </c>
      <c r="N89" s="5" t="s">
        <v>384</v>
      </c>
      <c r="O89" s="5" t="s">
        <v>385</v>
      </c>
    </row>
    <row r="90" spans="1:15" x14ac:dyDescent="0.25">
      <c r="A90" s="7" t="s">
        <v>381</v>
      </c>
      <c r="B90" s="10" t="s">
        <v>475</v>
      </c>
      <c r="C90" s="10" t="s">
        <v>34</v>
      </c>
      <c r="D90" s="10" t="s">
        <v>519</v>
      </c>
      <c r="E90" s="5" t="s">
        <v>398</v>
      </c>
      <c r="F90" s="5" t="str">
        <f>VLOOKUP(C90,key!A:P,4,FALSE)</f>
        <v>OA</v>
      </c>
      <c r="G90" s="5">
        <f>VLOOKUP(C90,key!A:P,5,FALSE)</f>
        <v>3</v>
      </c>
      <c r="H90" s="5">
        <f>VLOOKUP(C90,key!A:N,14,FALSE)</f>
        <v>1</v>
      </c>
      <c r="I90" s="9">
        <v>83.8</v>
      </c>
      <c r="J90" s="5">
        <v>100</v>
      </c>
      <c r="K90" s="5">
        <f t="shared" si="0"/>
        <v>8380</v>
      </c>
      <c r="L90" s="8" t="str">
        <f t="shared" si="6"/>
        <v>20220110</v>
      </c>
      <c r="M90" s="8" t="str">
        <f t="shared" si="5"/>
        <v>Sam's RNA Box #3</v>
      </c>
      <c r="N90" s="5" t="s">
        <v>384</v>
      </c>
      <c r="O90" s="5" t="s">
        <v>385</v>
      </c>
    </row>
    <row r="91" spans="1:15" x14ac:dyDescent="0.25">
      <c r="A91" s="7" t="s">
        <v>381</v>
      </c>
      <c r="B91" s="10" t="s">
        <v>476</v>
      </c>
      <c r="C91" s="10" t="s">
        <v>35</v>
      </c>
      <c r="D91" s="10" t="s">
        <v>519</v>
      </c>
      <c r="E91" s="5" t="s">
        <v>398</v>
      </c>
      <c r="F91" s="5" t="str">
        <f>VLOOKUP(C91,key!A:P,4,FALSE)</f>
        <v>OA</v>
      </c>
      <c r="G91" s="5">
        <f>VLOOKUP(C91,key!A:P,5,FALSE)</f>
        <v>3</v>
      </c>
      <c r="H91" s="5">
        <f>VLOOKUP(C91,key!A:N,14,FALSE)</f>
        <v>1</v>
      </c>
      <c r="I91" s="9">
        <v>63.6</v>
      </c>
      <c r="J91" s="5">
        <v>100</v>
      </c>
      <c r="K91" s="5">
        <f t="shared" si="0"/>
        <v>6360</v>
      </c>
      <c r="L91" s="8" t="str">
        <f t="shared" si="6"/>
        <v>20220110</v>
      </c>
      <c r="M91" s="8" t="str">
        <f t="shared" si="5"/>
        <v>Sam's RNA Box #3</v>
      </c>
      <c r="N91" s="5" t="s">
        <v>384</v>
      </c>
      <c r="O91" s="5" t="s">
        <v>385</v>
      </c>
    </row>
    <row r="92" spans="1:15" x14ac:dyDescent="0.25">
      <c r="A92" s="7" t="s">
        <v>381</v>
      </c>
      <c r="B92" s="10" t="s">
        <v>477</v>
      </c>
      <c r="C92" s="10" t="s">
        <v>37</v>
      </c>
      <c r="D92" s="10" t="s">
        <v>519</v>
      </c>
      <c r="E92" s="5" t="s">
        <v>398</v>
      </c>
      <c r="F92" s="5" t="str">
        <f>VLOOKUP(C92,key!A:P,4,FALSE)</f>
        <v>OA</v>
      </c>
      <c r="G92" s="5">
        <f>VLOOKUP(C92,key!A:P,5,FALSE)</f>
        <v>3</v>
      </c>
      <c r="H92" s="5">
        <f>VLOOKUP(C92,key!A:N,14,FALSE)</f>
        <v>1</v>
      </c>
      <c r="I92" s="9">
        <v>44.2</v>
      </c>
      <c r="J92" s="5">
        <v>100</v>
      </c>
      <c r="K92" s="5">
        <f t="shared" si="0"/>
        <v>4420</v>
      </c>
      <c r="L92" s="8" t="str">
        <f t="shared" si="6"/>
        <v>20220110</v>
      </c>
      <c r="M92" s="8" t="str">
        <f t="shared" si="5"/>
        <v>Sam's RNA Box #3</v>
      </c>
      <c r="N92" s="5" t="s">
        <v>384</v>
      </c>
      <c r="O92" s="5" t="s">
        <v>385</v>
      </c>
    </row>
    <row r="93" spans="1:15" x14ac:dyDescent="0.25">
      <c r="A93" s="7" t="s">
        <v>381</v>
      </c>
      <c r="B93" s="10" t="s">
        <v>478</v>
      </c>
      <c r="C93" s="10" t="s">
        <v>39</v>
      </c>
      <c r="D93" s="10" t="s">
        <v>519</v>
      </c>
      <c r="E93" s="5" t="s">
        <v>398</v>
      </c>
      <c r="F93" s="5" t="str">
        <f>VLOOKUP(C93,key!A:P,4,FALSE)</f>
        <v>OA</v>
      </c>
      <c r="G93" s="5">
        <f>VLOOKUP(C93,key!A:P,5,FALSE)</f>
        <v>3</v>
      </c>
      <c r="H93" s="5">
        <f>VLOOKUP(C93,key!A:N,14,FALSE)</f>
        <v>1</v>
      </c>
      <c r="I93" s="9">
        <v>124</v>
      </c>
      <c r="J93" s="5">
        <v>100</v>
      </c>
      <c r="K93" s="5">
        <f t="shared" si="0"/>
        <v>12400</v>
      </c>
      <c r="L93" s="8" t="str">
        <f t="shared" si="6"/>
        <v>20220110</v>
      </c>
      <c r="M93" s="8" t="str">
        <f t="shared" si="5"/>
        <v>Sam's RNA Box #3</v>
      </c>
      <c r="N93" s="5" t="s">
        <v>384</v>
      </c>
      <c r="O93" s="5" t="s">
        <v>385</v>
      </c>
    </row>
    <row r="94" spans="1:15" x14ac:dyDescent="0.25">
      <c r="A94" s="7" t="s">
        <v>381</v>
      </c>
      <c r="B94" s="10" t="s">
        <v>479</v>
      </c>
      <c r="C94" s="10" t="s">
        <v>41</v>
      </c>
      <c r="D94" s="10" t="s">
        <v>519</v>
      </c>
      <c r="E94" s="5" t="s">
        <v>398</v>
      </c>
      <c r="F94" s="5" t="str">
        <f>VLOOKUP(C94,key!A:P,4,FALSE)</f>
        <v>OA</v>
      </c>
      <c r="G94" s="5">
        <f>VLOOKUP(C94,key!A:P,5,FALSE)</f>
        <v>3</v>
      </c>
      <c r="H94" s="5">
        <f>VLOOKUP(C94,key!A:N,14,FALSE)</f>
        <v>1</v>
      </c>
      <c r="I94" s="9">
        <v>132</v>
      </c>
      <c r="J94" s="5">
        <v>100</v>
      </c>
      <c r="K94" s="5">
        <f t="shared" si="0"/>
        <v>13200</v>
      </c>
      <c r="L94" s="8" t="str">
        <f t="shared" si="6"/>
        <v>20220110</v>
      </c>
      <c r="M94" s="8" t="str">
        <f t="shared" si="5"/>
        <v>Sam's RNA Box #3</v>
      </c>
      <c r="N94" s="5" t="s">
        <v>384</v>
      </c>
      <c r="O94" s="5" t="s">
        <v>385</v>
      </c>
    </row>
    <row r="95" spans="1:15" x14ac:dyDescent="0.25">
      <c r="A95" s="7" t="s">
        <v>381</v>
      </c>
      <c r="B95" s="10" t="s">
        <v>480</v>
      </c>
      <c r="C95" s="10" t="s">
        <v>43</v>
      </c>
      <c r="D95" s="10" t="s">
        <v>519</v>
      </c>
      <c r="E95" s="5" t="s">
        <v>398</v>
      </c>
      <c r="F95" s="5" t="str">
        <f>VLOOKUP(C95,key!A:P,4,FALSE)</f>
        <v>OA</v>
      </c>
      <c r="G95" s="5">
        <f>VLOOKUP(C95,key!A:P,5,FALSE)</f>
        <v>3</v>
      </c>
      <c r="H95" s="5">
        <f>VLOOKUP(C95,key!A:N,14,FALSE)</f>
        <v>1</v>
      </c>
      <c r="I95" s="9">
        <v>28.8</v>
      </c>
      <c r="J95" s="5">
        <v>100</v>
      </c>
      <c r="K95" s="5">
        <f t="shared" si="0"/>
        <v>2880</v>
      </c>
      <c r="L95" s="8" t="str">
        <f t="shared" si="6"/>
        <v>20220110</v>
      </c>
      <c r="M95" s="8" t="str">
        <f t="shared" si="5"/>
        <v>Sam's RNA Box #3</v>
      </c>
      <c r="N95" s="5" t="s">
        <v>384</v>
      </c>
      <c r="O95" s="5" t="s">
        <v>385</v>
      </c>
    </row>
    <row r="96" spans="1:15" x14ac:dyDescent="0.25">
      <c r="A96" s="7" t="s">
        <v>381</v>
      </c>
      <c r="B96" s="10" t="s">
        <v>481</v>
      </c>
      <c r="C96" s="10" t="s">
        <v>44</v>
      </c>
      <c r="D96" s="10" t="s">
        <v>519</v>
      </c>
      <c r="E96" s="5" t="s">
        <v>398</v>
      </c>
      <c r="F96" s="5" t="str">
        <f>VLOOKUP(C96,key!A:P,4,FALSE)</f>
        <v>OA</v>
      </c>
      <c r="G96" s="5">
        <f>VLOOKUP(C96,key!A:P,5,FALSE)</f>
        <v>3</v>
      </c>
      <c r="H96" s="5">
        <f>VLOOKUP(C96,key!A:N,14,FALSE)</f>
        <v>1</v>
      </c>
      <c r="I96" s="9">
        <v>38.6</v>
      </c>
      <c r="J96" s="5">
        <v>100</v>
      </c>
      <c r="K96" s="5">
        <f t="shared" si="0"/>
        <v>3860</v>
      </c>
      <c r="L96" s="8" t="str">
        <f t="shared" si="6"/>
        <v>20220110</v>
      </c>
      <c r="M96" s="8" t="str">
        <f t="shared" si="5"/>
        <v>Sam's RNA Box #3</v>
      </c>
      <c r="N96" s="5" t="s">
        <v>384</v>
      </c>
      <c r="O96" s="5" t="s">
        <v>385</v>
      </c>
    </row>
    <row r="97" spans="1:15" x14ac:dyDescent="0.25">
      <c r="A97" s="7" t="s">
        <v>381</v>
      </c>
      <c r="B97" s="10" t="s">
        <v>482</v>
      </c>
      <c r="C97" s="10" t="s">
        <v>45</v>
      </c>
      <c r="D97" s="10" t="s">
        <v>519</v>
      </c>
      <c r="E97" s="5" t="s">
        <v>398</v>
      </c>
      <c r="F97" s="5" t="str">
        <f>VLOOKUP(C97,key!A:P,4,FALSE)</f>
        <v>OA</v>
      </c>
      <c r="G97" s="5">
        <f>VLOOKUP(C97,key!A:P,5,FALSE)</f>
        <v>3</v>
      </c>
      <c r="H97" s="5">
        <f>VLOOKUP(C97,key!A:N,14,FALSE)</f>
        <v>1</v>
      </c>
      <c r="I97" s="9">
        <v>34.200000000000003</v>
      </c>
      <c r="J97" s="5">
        <v>100</v>
      </c>
      <c r="K97" s="5">
        <f t="shared" si="0"/>
        <v>3420.0000000000005</v>
      </c>
      <c r="L97" s="8" t="str">
        <f t="shared" si="6"/>
        <v>20220110</v>
      </c>
      <c r="M97" s="8" t="str">
        <f t="shared" si="5"/>
        <v>Sam's RNA Box #3</v>
      </c>
      <c r="N97" s="5" t="s">
        <v>384</v>
      </c>
      <c r="O97" s="5" t="s">
        <v>385</v>
      </c>
    </row>
    <row r="98" spans="1:15" x14ac:dyDescent="0.25">
      <c r="A98" s="7" t="s">
        <v>381</v>
      </c>
      <c r="B98" s="10" t="s">
        <v>483</v>
      </c>
      <c r="C98" s="10" t="s">
        <v>190</v>
      </c>
      <c r="D98" s="10" t="s">
        <v>520</v>
      </c>
      <c r="E98" s="5" t="s">
        <v>411</v>
      </c>
      <c r="F98" s="5" t="str">
        <f>VLOOKUP(C98,key!A:P,4,FALSE)</f>
        <v>OA</v>
      </c>
      <c r="G98" s="5">
        <f>VLOOKUP(C98,key!A:P,5,FALSE)</f>
        <v>3</v>
      </c>
      <c r="H98" s="5">
        <f>VLOOKUP(C98,key!A:N,14,FALSE)</f>
        <v>0</v>
      </c>
      <c r="I98" s="9">
        <v>82</v>
      </c>
      <c r="J98" s="5">
        <v>100</v>
      </c>
      <c r="K98" s="5">
        <f t="shared" si="0"/>
        <v>8200</v>
      </c>
      <c r="L98" s="8" t="str">
        <f t="shared" si="6"/>
        <v>20220110</v>
      </c>
      <c r="M98" s="8" t="str">
        <f t="shared" si="5"/>
        <v>Sam's RNA Box #3</v>
      </c>
      <c r="N98" s="5" t="s">
        <v>384</v>
      </c>
      <c r="O98" s="5" t="s">
        <v>385</v>
      </c>
    </row>
    <row r="99" spans="1:15" x14ac:dyDescent="0.25">
      <c r="A99" s="7" t="s">
        <v>381</v>
      </c>
      <c r="B99" s="10" t="s">
        <v>484</v>
      </c>
      <c r="C99" s="10" t="s">
        <v>196</v>
      </c>
      <c r="D99" s="10" t="s">
        <v>520</v>
      </c>
      <c r="E99" s="5" t="s">
        <v>411</v>
      </c>
      <c r="F99" s="5" t="str">
        <f>VLOOKUP(C99,key!A:P,4,FALSE)</f>
        <v>OA</v>
      </c>
      <c r="G99" s="5">
        <f>VLOOKUP(C99,key!A:P,5,FALSE)</f>
        <v>3</v>
      </c>
      <c r="H99" s="5">
        <f>VLOOKUP(C99,key!A:N,14,FALSE)</f>
        <v>0</v>
      </c>
      <c r="I99" s="9">
        <v>54.6</v>
      </c>
      <c r="J99" s="5">
        <v>100</v>
      </c>
      <c r="K99" s="5">
        <f t="shared" si="0"/>
        <v>5460</v>
      </c>
      <c r="L99" s="8" t="str">
        <f t="shared" si="6"/>
        <v>20220110</v>
      </c>
      <c r="M99" s="8" t="str">
        <f t="shared" si="5"/>
        <v>Sam's RNA Box #3</v>
      </c>
      <c r="N99" s="5" t="s">
        <v>384</v>
      </c>
      <c r="O99" s="5" t="s">
        <v>385</v>
      </c>
    </row>
    <row r="100" spans="1:15" x14ac:dyDescent="0.25">
      <c r="A100" s="7" t="s">
        <v>381</v>
      </c>
      <c r="B100" s="10" t="s">
        <v>485</v>
      </c>
      <c r="C100" s="10" t="s">
        <v>32</v>
      </c>
      <c r="D100" s="10" t="s">
        <v>520</v>
      </c>
      <c r="E100" s="5" t="s">
        <v>411</v>
      </c>
      <c r="F100" s="5" t="str">
        <f>VLOOKUP(C100,key!A:P,4,FALSE)</f>
        <v>OA</v>
      </c>
      <c r="G100" s="5">
        <f>VLOOKUP(C100,key!A:P,5,FALSE)</f>
        <v>3</v>
      </c>
      <c r="H100" s="5">
        <f>VLOOKUP(C100,key!A:N,14,FALSE)</f>
        <v>1</v>
      </c>
      <c r="I100" s="9">
        <v>162</v>
      </c>
      <c r="J100" s="5">
        <v>100</v>
      </c>
      <c r="K100" s="5">
        <f t="shared" si="0"/>
        <v>16200</v>
      </c>
      <c r="L100" s="8" t="str">
        <f t="shared" si="6"/>
        <v>20220110</v>
      </c>
      <c r="M100" s="8" t="str">
        <f t="shared" si="5"/>
        <v>Sam's RNA Box #3</v>
      </c>
      <c r="N100" s="5" t="s">
        <v>384</v>
      </c>
      <c r="O100" s="5" t="s">
        <v>385</v>
      </c>
    </row>
    <row r="101" spans="1:15" x14ac:dyDescent="0.25">
      <c r="A101" s="7" t="s">
        <v>381</v>
      </c>
      <c r="B101" s="10" t="s">
        <v>486</v>
      </c>
      <c r="C101" s="10" t="s">
        <v>33</v>
      </c>
      <c r="D101" s="10" t="s">
        <v>520</v>
      </c>
      <c r="E101" s="5" t="s">
        <v>411</v>
      </c>
      <c r="F101" s="5" t="str">
        <f>VLOOKUP(C101,key!A:P,4,FALSE)</f>
        <v>OA</v>
      </c>
      <c r="G101" s="5">
        <f>VLOOKUP(C101,key!A:P,5,FALSE)</f>
        <v>3</v>
      </c>
      <c r="H101" s="5">
        <f>VLOOKUP(C101,key!A:N,14,FALSE)</f>
        <v>1</v>
      </c>
      <c r="I101" s="9">
        <v>96.2</v>
      </c>
      <c r="J101" s="5">
        <v>100</v>
      </c>
      <c r="K101" s="5">
        <f t="shared" si="0"/>
        <v>9620</v>
      </c>
      <c r="L101" s="8" t="str">
        <f t="shared" si="6"/>
        <v>20220110</v>
      </c>
      <c r="M101" s="8" t="str">
        <f t="shared" si="5"/>
        <v>Sam's RNA Box #3</v>
      </c>
      <c r="N101" s="5" t="s">
        <v>384</v>
      </c>
      <c r="O101" s="5" t="s">
        <v>385</v>
      </c>
    </row>
    <row r="102" spans="1:15" x14ac:dyDescent="0.25">
      <c r="A102" s="7" t="s">
        <v>381</v>
      </c>
      <c r="B102" s="10" t="s">
        <v>487</v>
      </c>
      <c r="C102" s="10" t="s">
        <v>34</v>
      </c>
      <c r="D102" s="10" t="s">
        <v>520</v>
      </c>
      <c r="E102" s="5" t="s">
        <v>411</v>
      </c>
      <c r="F102" s="5" t="str">
        <f>VLOOKUP(C102,key!A:P,4,FALSE)</f>
        <v>OA</v>
      </c>
      <c r="G102" s="5">
        <f>VLOOKUP(C102,key!A:P,5,FALSE)</f>
        <v>3</v>
      </c>
      <c r="H102" s="5">
        <f>VLOOKUP(C102,key!A:N,14,FALSE)</f>
        <v>1</v>
      </c>
      <c r="I102" s="9">
        <v>46.8</v>
      </c>
      <c r="J102" s="5">
        <v>100</v>
      </c>
      <c r="K102" s="5">
        <f t="shared" si="0"/>
        <v>4680</v>
      </c>
      <c r="L102" s="8" t="str">
        <f t="shared" si="6"/>
        <v>20220110</v>
      </c>
      <c r="M102" s="8" t="str">
        <f t="shared" si="5"/>
        <v>Sam's RNA Box #3</v>
      </c>
      <c r="N102" s="5" t="s">
        <v>384</v>
      </c>
      <c r="O102" s="5" t="s">
        <v>385</v>
      </c>
    </row>
    <row r="103" spans="1:15" x14ac:dyDescent="0.25">
      <c r="A103" s="7" t="s">
        <v>381</v>
      </c>
      <c r="B103" s="10" t="s">
        <v>488</v>
      </c>
      <c r="C103" s="10" t="s">
        <v>35</v>
      </c>
      <c r="D103" s="10" t="s">
        <v>520</v>
      </c>
      <c r="E103" s="5" t="s">
        <v>411</v>
      </c>
      <c r="F103" s="5" t="str">
        <f>VLOOKUP(C103,key!A:P,4,FALSE)</f>
        <v>OA</v>
      </c>
      <c r="G103" s="5">
        <f>VLOOKUP(C103,key!A:P,5,FALSE)</f>
        <v>3</v>
      </c>
      <c r="H103" s="5">
        <f>VLOOKUP(C103,key!A:N,14,FALSE)</f>
        <v>1</v>
      </c>
      <c r="I103" s="9">
        <v>194</v>
      </c>
      <c r="J103" s="5">
        <v>100</v>
      </c>
      <c r="K103" s="5">
        <f t="shared" si="0"/>
        <v>19400</v>
      </c>
      <c r="L103" s="8" t="str">
        <f t="shared" si="6"/>
        <v>20220110</v>
      </c>
      <c r="M103" s="8" t="str">
        <f t="shared" si="5"/>
        <v>Sam's RNA Box #3</v>
      </c>
      <c r="N103" s="5" t="s">
        <v>384</v>
      </c>
      <c r="O103" s="5" t="s">
        <v>385</v>
      </c>
    </row>
    <row r="104" spans="1:15" x14ac:dyDescent="0.25">
      <c r="A104" s="7" t="s">
        <v>381</v>
      </c>
      <c r="B104" s="10" t="s">
        <v>489</v>
      </c>
      <c r="C104" s="10" t="s">
        <v>37</v>
      </c>
      <c r="D104" s="10" t="s">
        <v>520</v>
      </c>
      <c r="E104" s="5" t="s">
        <v>411</v>
      </c>
      <c r="F104" s="5" t="str">
        <f>VLOOKUP(C104,key!A:P,4,FALSE)</f>
        <v>OA</v>
      </c>
      <c r="G104" s="5">
        <f>VLOOKUP(C104,key!A:P,5,FALSE)</f>
        <v>3</v>
      </c>
      <c r="H104" s="5">
        <f>VLOOKUP(C104,key!A:N,14,FALSE)</f>
        <v>1</v>
      </c>
      <c r="I104" s="9">
        <v>79.599999999999994</v>
      </c>
      <c r="J104" s="5">
        <v>100</v>
      </c>
      <c r="K104" s="5">
        <f t="shared" si="0"/>
        <v>7959.9999999999991</v>
      </c>
      <c r="L104" s="8" t="str">
        <f t="shared" ref="L104:L127" si="7">HYPERLINK("https://robertslab.github.io/sams-notebook/2022/01/11/RNA-Isolation-M.trossulus-Gill-and-Phenol-Gland.html", "20220111")</f>
        <v>20220111</v>
      </c>
      <c r="M104" s="8" t="str">
        <f t="shared" si="5"/>
        <v>Sam's RNA Box #3</v>
      </c>
      <c r="N104" s="5" t="s">
        <v>384</v>
      </c>
      <c r="O104" s="5" t="s">
        <v>385</v>
      </c>
    </row>
    <row r="105" spans="1:15" x14ac:dyDescent="0.25">
      <c r="A105" s="7" t="s">
        <v>381</v>
      </c>
      <c r="B105" s="10" t="s">
        <v>490</v>
      </c>
      <c r="C105" s="10" t="s">
        <v>39</v>
      </c>
      <c r="D105" s="10" t="s">
        <v>520</v>
      </c>
      <c r="E105" s="5" t="s">
        <v>411</v>
      </c>
      <c r="F105" s="5" t="str">
        <f>VLOOKUP(C105,key!A:P,4,FALSE)</f>
        <v>OA</v>
      </c>
      <c r="G105" s="5">
        <f>VLOOKUP(C105,key!A:P,5,FALSE)</f>
        <v>3</v>
      </c>
      <c r="H105" s="5">
        <f>VLOOKUP(C105,key!A:N,14,FALSE)</f>
        <v>1</v>
      </c>
      <c r="I105" s="9">
        <v>69.400000000000006</v>
      </c>
      <c r="J105" s="5">
        <v>100</v>
      </c>
      <c r="K105" s="5">
        <f t="shared" si="0"/>
        <v>6940.0000000000009</v>
      </c>
      <c r="L105" s="8" t="str">
        <f t="shared" si="7"/>
        <v>20220111</v>
      </c>
      <c r="M105" s="8" t="str">
        <f t="shared" si="5"/>
        <v>Sam's RNA Box #3</v>
      </c>
      <c r="N105" s="5" t="s">
        <v>384</v>
      </c>
      <c r="O105" s="5" t="s">
        <v>385</v>
      </c>
    </row>
    <row r="106" spans="1:15" x14ac:dyDescent="0.25">
      <c r="A106" s="7" t="s">
        <v>381</v>
      </c>
      <c r="B106" s="10" t="s">
        <v>491</v>
      </c>
      <c r="C106" s="10" t="s">
        <v>41</v>
      </c>
      <c r="D106" s="10" t="s">
        <v>520</v>
      </c>
      <c r="E106" s="5" t="s">
        <v>411</v>
      </c>
      <c r="F106" s="5" t="str">
        <f>VLOOKUP(C106,key!A:P,4,FALSE)</f>
        <v>OA</v>
      </c>
      <c r="G106" s="5">
        <f>VLOOKUP(C106,key!A:P,5,FALSE)</f>
        <v>3</v>
      </c>
      <c r="H106" s="5">
        <f>VLOOKUP(C106,key!A:N,14,FALSE)</f>
        <v>1</v>
      </c>
      <c r="I106" s="9">
        <v>108</v>
      </c>
      <c r="J106" s="5">
        <v>100</v>
      </c>
      <c r="K106" s="5">
        <f t="shared" si="0"/>
        <v>10800</v>
      </c>
      <c r="L106" s="8" t="str">
        <f t="shared" si="7"/>
        <v>20220111</v>
      </c>
      <c r="M106" s="8" t="str">
        <f t="shared" si="5"/>
        <v>Sam's RNA Box #3</v>
      </c>
      <c r="N106" s="5" t="s">
        <v>384</v>
      </c>
      <c r="O106" s="5" t="s">
        <v>385</v>
      </c>
    </row>
    <row r="107" spans="1:15" x14ac:dyDescent="0.25">
      <c r="A107" s="7" t="s">
        <v>381</v>
      </c>
      <c r="B107" s="10" t="s">
        <v>492</v>
      </c>
      <c r="C107" s="10" t="s">
        <v>43</v>
      </c>
      <c r="D107" s="10" t="s">
        <v>520</v>
      </c>
      <c r="E107" s="5" t="s">
        <v>411</v>
      </c>
      <c r="F107" s="5" t="str">
        <f>VLOOKUP(C107,key!A:P,4,FALSE)</f>
        <v>OA</v>
      </c>
      <c r="G107" s="5">
        <f>VLOOKUP(C107,key!A:P,5,FALSE)</f>
        <v>3</v>
      </c>
      <c r="H107" s="5">
        <f>VLOOKUP(C107,key!A:N,14,FALSE)</f>
        <v>1</v>
      </c>
      <c r="I107" s="9">
        <v>46</v>
      </c>
      <c r="J107" s="5">
        <v>100</v>
      </c>
      <c r="K107" s="5">
        <f t="shared" si="0"/>
        <v>4600</v>
      </c>
      <c r="L107" s="8" t="str">
        <f t="shared" si="7"/>
        <v>20220111</v>
      </c>
      <c r="M107" s="8" t="str">
        <f t="shared" si="5"/>
        <v>Sam's RNA Box #3</v>
      </c>
      <c r="N107" s="5" t="s">
        <v>384</v>
      </c>
      <c r="O107" s="5" t="s">
        <v>385</v>
      </c>
    </row>
    <row r="108" spans="1:15" x14ac:dyDescent="0.25">
      <c r="A108" s="7" t="s">
        <v>381</v>
      </c>
      <c r="B108" s="10" t="s">
        <v>493</v>
      </c>
      <c r="C108" s="10" t="s">
        <v>44</v>
      </c>
      <c r="D108" s="10" t="s">
        <v>520</v>
      </c>
      <c r="E108" s="5" t="s">
        <v>411</v>
      </c>
      <c r="F108" s="5" t="str">
        <f>VLOOKUP(C108,key!A:P,4,FALSE)</f>
        <v>OA</v>
      </c>
      <c r="G108" s="5">
        <f>VLOOKUP(C108,key!A:P,5,FALSE)</f>
        <v>3</v>
      </c>
      <c r="H108" s="5">
        <f>VLOOKUP(C108,key!A:N,14,FALSE)</f>
        <v>1</v>
      </c>
      <c r="I108" s="9">
        <v>168</v>
      </c>
      <c r="J108" s="5">
        <v>100</v>
      </c>
      <c r="K108" s="5">
        <f t="shared" si="0"/>
        <v>16800</v>
      </c>
      <c r="L108" s="8" t="str">
        <f t="shared" si="7"/>
        <v>20220111</v>
      </c>
      <c r="M108" s="8" t="str">
        <f t="shared" si="5"/>
        <v>Sam's RNA Box #3</v>
      </c>
      <c r="N108" s="5" t="s">
        <v>384</v>
      </c>
      <c r="O108" s="5" t="s">
        <v>385</v>
      </c>
    </row>
    <row r="109" spans="1:15" x14ac:dyDescent="0.25">
      <c r="A109" s="7" t="s">
        <v>381</v>
      </c>
      <c r="B109" s="10" t="s">
        <v>494</v>
      </c>
      <c r="C109" s="10" t="s">
        <v>45</v>
      </c>
      <c r="D109" s="10" t="s">
        <v>520</v>
      </c>
      <c r="E109" s="5" t="s">
        <v>411</v>
      </c>
      <c r="F109" s="5" t="str">
        <f>VLOOKUP(C109,key!A:P,4,FALSE)</f>
        <v>OA</v>
      </c>
      <c r="G109" s="5">
        <f>VLOOKUP(C109,key!A:P,5,FALSE)</f>
        <v>3</v>
      </c>
      <c r="H109" s="5">
        <f>VLOOKUP(C109,key!A:N,14,FALSE)</f>
        <v>1</v>
      </c>
      <c r="I109" s="9">
        <v>130</v>
      </c>
      <c r="J109" s="5">
        <v>100</v>
      </c>
      <c r="K109" s="5">
        <f t="shared" si="0"/>
        <v>13000</v>
      </c>
      <c r="L109" s="8" t="str">
        <f t="shared" si="7"/>
        <v>20220111</v>
      </c>
      <c r="M109" s="8" t="str">
        <f t="shared" si="5"/>
        <v>Sam's RNA Box #3</v>
      </c>
      <c r="N109" s="5" t="s">
        <v>384</v>
      </c>
      <c r="O109" s="5" t="s">
        <v>385</v>
      </c>
    </row>
    <row r="110" spans="1:15" x14ac:dyDescent="0.25">
      <c r="A110" s="7" t="s">
        <v>381</v>
      </c>
      <c r="B110" s="10" t="s">
        <v>495</v>
      </c>
      <c r="C110" s="10" t="s">
        <v>48</v>
      </c>
      <c r="D110" s="10" t="s">
        <v>519</v>
      </c>
      <c r="E110" s="5" t="s">
        <v>398</v>
      </c>
      <c r="F110" s="5" t="str">
        <f>VLOOKUP(C110,key!A:P,4,FALSE)</f>
        <v>OW</v>
      </c>
      <c r="G110" s="5">
        <f>VLOOKUP(C110,key!A:P,5,FALSE)</f>
        <v>3</v>
      </c>
      <c r="H110" s="5">
        <f>VLOOKUP(C110,key!A:N,14,FALSE)</f>
        <v>1</v>
      </c>
      <c r="I110" s="9">
        <v>89</v>
      </c>
      <c r="J110" s="5">
        <v>100</v>
      </c>
      <c r="K110" s="5">
        <f t="shared" si="0"/>
        <v>8900</v>
      </c>
      <c r="L110" s="8" t="str">
        <f t="shared" si="7"/>
        <v>20220111</v>
      </c>
      <c r="M110" s="8" t="str">
        <f t="shared" si="5"/>
        <v>Sam's RNA Box #3</v>
      </c>
      <c r="N110" s="5" t="s">
        <v>384</v>
      </c>
      <c r="O110" s="5" t="s">
        <v>385</v>
      </c>
    </row>
    <row r="111" spans="1:15" x14ac:dyDescent="0.25">
      <c r="A111" s="7" t="s">
        <v>381</v>
      </c>
      <c r="B111" s="10" t="s">
        <v>496</v>
      </c>
      <c r="C111" s="10" t="s">
        <v>49</v>
      </c>
      <c r="D111" s="10" t="s">
        <v>519</v>
      </c>
      <c r="E111" s="5" t="s">
        <v>398</v>
      </c>
      <c r="F111" s="5" t="str">
        <f>VLOOKUP(C111,key!A:P,4,FALSE)</f>
        <v>OW</v>
      </c>
      <c r="G111" s="5">
        <f>VLOOKUP(C111,key!A:P,5,FALSE)</f>
        <v>3</v>
      </c>
      <c r="H111" s="5">
        <f>VLOOKUP(C111,key!A:N,14,FALSE)</f>
        <v>1</v>
      </c>
      <c r="I111" s="9">
        <v>46.2</v>
      </c>
      <c r="J111" s="5">
        <v>100</v>
      </c>
      <c r="K111" s="5">
        <f t="shared" si="0"/>
        <v>4620</v>
      </c>
      <c r="L111" s="8" t="str">
        <f t="shared" si="7"/>
        <v>20220111</v>
      </c>
      <c r="M111" s="8" t="str">
        <f t="shared" si="5"/>
        <v>Sam's RNA Box #3</v>
      </c>
      <c r="N111" s="5" t="s">
        <v>384</v>
      </c>
      <c r="O111" s="5" t="s">
        <v>385</v>
      </c>
    </row>
    <row r="112" spans="1:15" x14ac:dyDescent="0.25">
      <c r="A112" s="7" t="s">
        <v>381</v>
      </c>
      <c r="B112" s="10" t="s">
        <v>497</v>
      </c>
      <c r="C112" s="10" t="s">
        <v>50</v>
      </c>
      <c r="D112" s="10" t="s">
        <v>519</v>
      </c>
      <c r="E112" s="5" t="s">
        <v>398</v>
      </c>
      <c r="F112" s="5" t="str">
        <f>VLOOKUP(C112,key!A:P,4,FALSE)</f>
        <v>OW</v>
      </c>
      <c r="G112" s="5">
        <f>VLOOKUP(C112,key!A:P,5,FALSE)</f>
        <v>3</v>
      </c>
      <c r="H112" s="5">
        <f>VLOOKUP(C112,key!A:N,14,FALSE)</f>
        <v>1</v>
      </c>
      <c r="I112" s="9">
        <v>74.2</v>
      </c>
      <c r="J112" s="5">
        <v>100</v>
      </c>
      <c r="K112" s="5">
        <f t="shared" si="0"/>
        <v>7420</v>
      </c>
      <c r="L112" s="8" t="str">
        <f t="shared" si="7"/>
        <v>20220111</v>
      </c>
      <c r="M112" s="8" t="str">
        <f t="shared" si="5"/>
        <v>Sam's RNA Box #3</v>
      </c>
      <c r="N112" s="5" t="s">
        <v>384</v>
      </c>
      <c r="O112" s="5" t="s">
        <v>385</v>
      </c>
    </row>
    <row r="113" spans="1:15" x14ac:dyDescent="0.25">
      <c r="A113" s="7" t="s">
        <v>381</v>
      </c>
      <c r="B113" s="10" t="s">
        <v>498</v>
      </c>
      <c r="C113" s="10" t="s">
        <v>52</v>
      </c>
      <c r="D113" s="10" t="s">
        <v>519</v>
      </c>
      <c r="E113" s="5" t="s">
        <v>398</v>
      </c>
      <c r="F113" s="5" t="str">
        <f>VLOOKUP(C113,key!A:P,4,FALSE)</f>
        <v>OW</v>
      </c>
      <c r="G113" s="5">
        <f>VLOOKUP(C113,key!A:P,5,FALSE)</f>
        <v>3</v>
      </c>
      <c r="H113" s="5">
        <f>VLOOKUP(C113,key!A:N,14,FALSE)</f>
        <v>1</v>
      </c>
      <c r="I113" s="9">
        <v>63.2</v>
      </c>
      <c r="J113" s="5">
        <v>100</v>
      </c>
      <c r="K113" s="5">
        <f t="shared" si="0"/>
        <v>6320</v>
      </c>
      <c r="L113" s="8" t="str">
        <f t="shared" si="7"/>
        <v>20220111</v>
      </c>
      <c r="M113" s="8" t="str">
        <f t="shared" si="5"/>
        <v>Sam's RNA Box #3</v>
      </c>
      <c r="N113" s="5" t="s">
        <v>384</v>
      </c>
      <c r="O113" s="5" t="s">
        <v>385</v>
      </c>
    </row>
    <row r="114" spans="1:15" x14ac:dyDescent="0.25">
      <c r="A114" s="7" t="s">
        <v>381</v>
      </c>
      <c r="B114" s="10" t="s">
        <v>499</v>
      </c>
      <c r="C114" s="10" t="s">
        <v>53</v>
      </c>
      <c r="D114" s="10" t="s">
        <v>519</v>
      </c>
      <c r="E114" s="5" t="s">
        <v>398</v>
      </c>
      <c r="F114" s="5" t="str">
        <f>VLOOKUP(C114,key!A:P,4,FALSE)</f>
        <v>OW</v>
      </c>
      <c r="G114" s="5">
        <f>VLOOKUP(C114,key!A:P,5,FALSE)</f>
        <v>3</v>
      </c>
      <c r="H114" s="5">
        <f>VLOOKUP(C114,key!A:N,14,FALSE)</f>
        <v>1</v>
      </c>
      <c r="I114" s="9">
        <v>97</v>
      </c>
      <c r="J114" s="5">
        <v>100</v>
      </c>
      <c r="K114" s="5">
        <f t="shared" si="0"/>
        <v>9700</v>
      </c>
      <c r="L114" s="8" t="str">
        <f t="shared" si="7"/>
        <v>20220111</v>
      </c>
      <c r="M114" s="8" t="str">
        <f t="shared" si="5"/>
        <v>Sam's RNA Box #3</v>
      </c>
      <c r="N114" s="5" t="s">
        <v>384</v>
      </c>
      <c r="O114" s="5" t="s">
        <v>385</v>
      </c>
    </row>
    <row r="115" spans="1:15" x14ac:dyDescent="0.25">
      <c r="A115" s="7" t="s">
        <v>381</v>
      </c>
      <c r="B115" s="10" t="s">
        <v>500</v>
      </c>
      <c r="C115" s="10" t="s">
        <v>54</v>
      </c>
      <c r="D115" s="10" t="s">
        <v>519</v>
      </c>
      <c r="E115" s="5" t="s">
        <v>398</v>
      </c>
      <c r="F115" s="5" t="str">
        <f>VLOOKUP(C115,key!A:P,4,FALSE)</f>
        <v>OW</v>
      </c>
      <c r="G115" s="5">
        <f>VLOOKUP(C115,key!A:P,5,FALSE)</f>
        <v>3</v>
      </c>
      <c r="H115" s="5">
        <f>VLOOKUP(C115,key!A:N,14,FALSE)</f>
        <v>1</v>
      </c>
      <c r="I115" s="9">
        <v>30.4</v>
      </c>
      <c r="J115" s="5">
        <v>100</v>
      </c>
      <c r="K115" s="5">
        <f t="shared" si="0"/>
        <v>3040</v>
      </c>
      <c r="L115" s="8" t="str">
        <f t="shared" si="7"/>
        <v>20220111</v>
      </c>
      <c r="M115" s="8" t="str">
        <f t="shared" si="5"/>
        <v>Sam's RNA Box #3</v>
      </c>
      <c r="N115" s="5" t="s">
        <v>384</v>
      </c>
      <c r="O115" s="5" t="s">
        <v>385</v>
      </c>
    </row>
    <row r="116" spans="1:15" x14ac:dyDescent="0.25">
      <c r="A116" s="7" t="s">
        <v>381</v>
      </c>
      <c r="B116" s="10" t="s">
        <v>501</v>
      </c>
      <c r="C116" s="10" t="s">
        <v>55</v>
      </c>
      <c r="D116" s="10" t="s">
        <v>519</v>
      </c>
      <c r="E116" s="5" t="s">
        <v>398</v>
      </c>
      <c r="F116" s="5" t="str">
        <f>VLOOKUP(C116,key!A:P,4,FALSE)</f>
        <v>OW</v>
      </c>
      <c r="G116" s="5">
        <f>VLOOKUP(C116,key!A:P,5,FALSE)</f>
        <v>3</v>
      </c>
      <c r="H116" s="5">
        <f>VLOOKUP(C116,key!A:N,14,FALSE)</f>
        <v>1</v>
      </c>
      <c r="I116" s="9">
        <v>37</v>
      </c>
      <c r="J116" s="5">
        <v>100</v>
      </c>
      <c r="K116" s="5">
        <f t="shared" si="0"/>
        <v>3700</v>
      </c>
      <c r="L116" s="8" t="str">
        <f t="shared" si="7"/>
        <v>20220111</v>
      </c>
      <c r="M116" s="8" t="str">
        <f t="shared" si="5"/>
        <v>Sam's RNA Box #3</v>
      </c>
      <c r="N116" s="5" t="s">
        <v>384</v>
      </c>
      <c r="O116" s="5" t="s">
        <v>385</v>
      </c>
    </row>
    <row r="117" spans="1:15" x14ac:dyDescent="0.25">
      <c r="A117" s="7" t="s">
        <v>381</v>
      </c>
      <c r="B117" s="10" t="s">
        <v>502</v>
      </c>
      <c r="C117" s="10" t="s">
        <v>56</v>
      </c>
      <c r="D117" s="10" t="s">
        <v>519</v>
      </c>
      <c r="E117" s="5" t="s">
        <v>398</v>
      </c>
      <c r="F117" s="5" t="str">
        <f>VLOOKUP(C117,key!A:P,4,FALSE)</f>
        <v>OW</v>
      </c>
      <c r="G117" s="5">
        <f>VLOOKUP(C117,key!A:P,5,FALSE)</f>
        <v>3</v>
      </c>
      <c r="H117" s="5">
        <f>VLOOKUP(C117,key!A:N,14,FALSE)</f>
        <v>1</v>
      </c>
      <c r="I117" s="9">
        <v>62.6</v>
      </c>
      <c r="J117" s="5">
        <v>100</v>
      </c>
      <c r="K117" s="5">
        <f t="shared" si="0"/>
        <v>6260</v>
      </c>
      <c r="L117" s="8" t="str">
        <f t="shared" si="7"/>
        <v>20220111</v>
      </c>
      <c r="M117" s="8" t="str">
        <f t="shared" si="5"/>
        <v>Sam's RNA Box #3</v>
      </c>
      <c r="N117" s="5" t="s">
        <v>384</v>
      </c>
      <c r="O117" s="5" t="s">
        <v>385</v>
      </c>
    </row>
    <row r="118" spans="1:15" x14ac:dyDescent="0.25">
      <c r="A118" s="7" t="s">
        <v>381</v>
      </c>
      <c r="B118" s="10" t="s">
        <v>503</v>
      </c>
      <c r="C118" s="10" t="s">
        <v>57</v>
      </c>
      <c r="D118" s="10" t="s">
        <v>519</v>
      </c>
      <c r="E118" s="5" t="s">
        <v>398</v>
      </c>
      <c r="F118" s="5" t="str">
        <f>VLOOKUP(C118,key!A:P,4,FALSE)</f>
        <v>OW</v>
      </c>
      <c r="G118" s="5">
        <f>VLOOKUP(C118,key!A:P,5,FALSE)</f>
        <v>3</v>
      </c>
      <c r="H118" s="5">
        <f>VLOOKUP(C118,key!A:N,14,FALSE)</f>
        <v>1</v>
      </c>
      <c r="I118" s="9">
        <v>84.2</v>
      </c>
      <c r="J118" s="5">
        <v>100</v>
      </c>
      <c r="K118" s="5">
        <f t="shared" si="0"/>
        <v>8420</v>
      </c>
      <c r="L118" s="8" t="str">
        <f t="shared" si="7"/>
        <v>20220111</v>
      </c>
      <c r="M118" s="8" t="str">
        <f t="shared" si="5"/>
        <v>Sam's RNA Box #3</v>
      </c>
      <c r="N118" s="5" t="s">
        <v>384</v>
      </c>
      <c r="O118" s="5" t="s">
        <v>385</v>
      </c>
    </row>
    <row r="119" spans="1:15" x14ac:dyDescent="0.25">
      <c r="A119" s="7" t="s">
        <v>381</v>
      </c>
      <c r="B119" s="10" t="s">
        <v>504</v>
      </c>
      <c r="C119" s="10" t="s">
        <v>58</v>
      </c>
      <c r="D119" s="10" t="s">
        <v>519</v>
      </c>
      <c r="E119" s="5" t="s">
        <v>398</v>
      </c>
      <c r="F119" s="5" t="str">
        <f>VLOOKUP(C119,key!A:P,4,FALSE)</f>
        <v>OW</v>
      </c>
      <c r="G119" s="5">
        <f>VLOOKUP(C119,key!A:P,5,FALSE)</f>
        <v>3</v>
      </c>
      <c r="H119" s="5">
        <f>VLOOKUP(C119,key!A:N,14,FALSE)</f>
        <v>1</v>
      </c>
      <c r="I119" s="9">
        <v>68.400000000000006</v>
      </c>
      <c r="J119" s="5">
        <v>100</v>
      </c>
      <c r="K119" s="5">
        <f t="shared" si="0"/>
        <v>6840.0000000000009</v>
      </c>
      <c r="L119" s="8" t="str">
        <f t="shared" si="7"/>
        <v>20220111</v>
      </c>
      <c r="M119" s="8" t="str">
        <f t="shared" si="5"/>
        <v>Sam's RNA Box #3</v>
      </c>
      <c r="N119" s="5" t="s">
        <v>384</v>
      </c>
      <c r="O119" s="5" t="s">
        <v>385</v>
      </c>
    </row>
    <row r="120" spans="1:15" x14ac:dyDescent="0.25">
      <c r="A120" s="7" t="s">
        <v>381</v>
      </c>
      <c r="B120" s="10" t="s">
        <v>505</v>
      </c>
      <c r="C120" s="10" t="s">
        <v>59</v>
      </c>
      <c r="D120" s="10" t="s">
        <v>519</v>
      </c>
      <c r="E120" s="5" t="s">
        <v>398</v>
      </c>
      <c r="F120" s="5" t="str">
        <f>VLOOKUP(C120,key!A:P,4,FALSE)</f>
        <v>OW</v>
      </c>
      <c r="G120" s="5">
        <f>VLOOKUP(C120,key!A:P,5,FALSE)</f>
        <v>3</v>
      </c>
      <c r="H120" s="5">
        <f>VLOOKUP(C120,key!A:N,14,FALSE)</f>
        <v>1</v>
      </c>
      <c r="I120" s="9">
        <v>35</v>
      </c>
      <c r="J120" s="5">
        <v>100</v>
      </c>
      <c r="K120" s="5">
        <f t="shared" si="0"/>
        <v>3500</v>
      </c>
      <c r="L120" s="8" t="str">
        <f t="shared" si="7"/>
        <v>20220111</v>
      </c>
      <c r="M120" s="8" t="str">
        <f t="shared" si="5"/>
        <v>Sam's RNA Box #3</v>
      </c>
      <c r="N120" s="5" t="s">
        <v>384</v>
      </c>
      <c r="O120" s="5" t="s">
        <v>385</v>
      </c>
    </row>
    <row r="121" spans="1:15" x14ac:dyDescent="0.25">
      <c r="A121" s="7" t="s">
        <v>381</v>
      </c>
      <c r="B121" s="10" t="s">
        <v>506</v>
      </c>
      <c r="C121" s="10" t="s">
        <v>60</v>
      </c>
      <c r="D121" s="10" t="s">
        <v>519</v>
      </c>
      <c r="E121" s="5" t="s">
        <v>398</v>
      </c>
      <c r="F121" s="5" t="str">
        <f>VLOOKUP(C121,key!A:P,4,FALSE)</f>
        <v>OW</v>
      </c>
      <c r="G121" s="5">
        <f>VLOOKUP(C121,key!A:P,5,FALSE)</f>
        <v>3</v>
      </c>
      <c r="H121" s="5">
        <f>VLOOKUP(C121,key!A:N,14,FALSE)</f>
        <v>1</v>
      </c>
      <c r="I121" s="9">
        <v>47.4</v>
      </c>
      <c r="J121" s="5">
        <v>100</v>
      </c>
      <c r="K121" s="5">
        <f t="shared" si="0"/>
        <v>4740</v>
      </c>
      <c r="L121" s="8" t="str">
        <f t="shared" si="7"/>
        <v>20220111</v>
      </c>
      <c r="M121" s="8" t="str">
        <f t="shared" si="5"/>
        <v>Sam's RNA Box #3</v>
      </c>
      <c r="N121" s="5" t="s">
        <v>384</v>
      </c>
      <c r="O121" s="5" t="s">
        <v>385</v>
      </c>
    </row>
    <row r="122" spans="1:15" x14ac:dyDescent="0.25">
      <c r="A122" s="7" t="s">
        <v>381</v>
      </c>
      <c r="B122" s="10" t="s">
        <v>507</v>
      </c>
      <c r="C122" s="10" t="s">
        <v>48</v>
      </c>
      <c r="D122" s="10" t="s">
        <v>520</v>
      </c>
      <c r="E122" s="5" t="s">
        <v>411</v>
      </c>
      <c r="F122" s="5" t="str">
        <f>VLOOKUP(C122,key!A:P,4,FALSE)</f>
        <v>OW</v>
      </c>
      <c r="G122" s="5">
        <f>VLOOKUP(C122,key!A:P,5,FALSE)</f>
        <v>3</v>
      </c>
      <c r="H122" s="5">
        <f>VLOOKUP(C122,key!A:N,14,FALSE)</f>
        <v>1</v>
      </c>
      <c r="I122" s="9">
        <v>86</v>
      </c>
      <c r="J122" s="5">
        <v>100</v>
      </c>
      <c r="K122" s="5">
        <f t="shared" si="0"/>
        <v>8600</v>
      </c>
      <c r="L122" s="8" t="str">
        <f t="shared" si="7"/>
        <v>20220111</v>
      </c>
      <c r="M122" s="8" t="str">
        <f t="shared" si="5"/>
        <v>Sam's RNA Box #3</v>
      </c>
      <c r="N122" s="5" t="s">
        <v>384</v>
      </c>
      <c r="O122" s="5" t="s">
        <v>385</v>
      </c>
    </row>
    <row r="123" spans="1:15" x14ac:dyDescent="0.25">
      <c r="A123" s="7" t="s">
        <v>381</v>
      </c>
      <c r="B123" s="10" t="s">
        <v>508</v>
      </c>
      <c r="C123" s="10" t="s">
        <v>49</v>
      </c>
      <c r="D123" s="10" t="s">
        <v>520</v>
      </c>
      <c r="E123" s="5" t="s">
        <v>411</v>
      </c>
      <c r="F123" s="5" t="str">
        <f>VLOOKUP(C123,key!A:P,4,FALSE)</f>
        <v>OW</v>
      </c>
      <c r="G123" s="5">
        <f>VLOOKUP(C123,key!A:P,5,FALSE)</f>
        <v>3</v>
      </c>
      <c r="H123" s="5">
        <f>VLOOKUP(C123,key!A:N,14,FALSE)</f>
        <v>1</v>
      </c>
      <c r="I123" s="9">
        <v>83</v>
      </c>
      <c r="J123" s="5">
        <v>200</v>
      </c>
      <c r="K123" s="5">
        <f t="shared" si="0"/>
        <v>16600</v>
      </c>
      <c r="L123" s="8" t="str">
        <f t="shared" si="7"/>
        <v>20220111</v>
      </c>
      <c r="M123" s="8" t="str">
        <f t="shared" si="5"/>
        <v>Sam's RNA Box #3</v>
      </c>
      <c r="N123" s="5" t="s">
        <v>384</v>
      </c>
      <c r="O123" s="5" t="s">
        <v>385</v>
      </c>
    </row>
    <row r="124" spans="1:15" x14ac:dyDescent="0.25">
      <c r="A124" s="7" t="s">
        <v>381</v>
      </c>
      <c r="B124" s="10" t="s">
        <v>509</v>
      </c>
      <c r="C124" s="10" t="s">
        <v>50</v>
      </c>
      <c r="D124" s="10" t="s">
        <v>520</v>
      </c>
      <c r="E124" s="5" t="s">
        <v>411</v>
      </c>
      <c r="F124" s="5" t="str">
        <f>VLOOKUP(C124,key!A:P,4,FALSE)</f>
        <v>OW</v>
      </c>
      <c r="G124" s="5">
        <f>VLOOKUP(C124,key!A:P,5,FALSE)</f>
        <v>3</v>
      </c>
      <c r="H124" s="5">
        <f>VLOOKUP(C124,key!A:N,14,FALSE)</f>
        <v>1</v>
      </c>
      <c r="I124" s="9">
        <v>99</v>
      </c>
      <c r="J124" s="5">
        <v>200</v>
      </c>
      <c r="K124" s="5">
        <f t="shared" si="0"/>
        <v>19800</v>
      </c>
      <c r="L124" s="8" t="str">
        <f t="shared" si="7"/>
        <v>20220111</v>
      </c>
      <c r="M124" s="8" t="str">
        <f t="shared" si="5"/>
        <v>Sam's RNA Box #3</v>
      </c>
      <c r="N124" s="5" t="s">
        <v>384</v>
      </c>
      <c r="O124" s="5" t="s">
        <v>385</v>
      </c>
    </row>
    <row r="125" spans="1:15" x14ac:dyDescent="0.25">
      <c r="A125" s="7" t="s">
        <v>381</v>
      </c>
      <c r="B125" s="10" t="s">
        <v>510</v>
      </c>
      <c r="C125" s="10" t="s">
        <v>52</v>
      </c>
      <c r="D125" s="10" t="s">
        <v>520</v>
      </c>
      <c r="E125" s="5" t="s">
        <v>411</v>
      </c>
      <c r="F125" s="5" t="str">
        <f>VLOOKUP(C125,key!A:P,4,FALSE)</f>
        <v>OW</v>
      </c>
      <c r="G125" s="5">
        <f>VLOOKUP(C125,key!A:P,5,FALSE)</f>
        <v>3</v>
      </c>
      <c r="H125" s="5">
        <f>VLOOKUP(C125,key!A:N,14,FALSE)</f>
        <v>1</v>
      </c>
      <c r="I125" s="9">
        <v>87.8</v>
      </c>
      <c r="J125" s="5">
        <v>100</v>
      </c>
      <c r="K125" s="5">
        <f t="shared" si="0"/>
        <v>8780</v>
      </c>
      <c r="L125" s="8" t="str">
        <f t="shared" si="7"/>
        <v>20220111</v>
      </c>
      <c r="M125" s="8" t="str">
        <f t="shared" si="5"/>
        <v>Sam's RNA Box #3</v>
      </c>
      <c r="N125" s="5" t="s">
        <v>384</v>
      </c>
      <c r="O125" s="5" t="s">
        <v>385</v>
      </c>
    </row>
    <row r="126" spans="1:15" x14ac:dyDescent="0.25">
      <c r="A126" s="7" t="s">
        <v>381</v>
      </c>
      <c r="B126" s="10" t="s">
        <v>511</v>
      </c>
      <c r="C126" s="10" t="s">
        <v>53</v>
      </c>
      <c r="D126" s="10" t="s">
        <v>520</v>
      </c>
      <c r="E126" s="5" t="s">
        <v>411</v>
      </c>
      <c r="F126" s="5" t="str">
        <f>VLOOKUP(C126,key!A:P,4,FALSE)</f>
        <v>OW</v>
      </c>
      <c r="G126" s="5">
        <f>VLOOKUP(C126,key!A:P,5,FALSE)</f>
        <v>3</v>
      </c>
      <c r="H126" s="5">
        <f>VLOOKUP(C126,key!A:N,14,FALSE)</f>
        <v>1</v>
      </c>
      <c r="I126" s="9">
        <v>104</v>
      </c>
      <c r="J126" s="5">
        <v>100</v>
      </c>
      <c r="K126" s="5">
        <f t="shared" si="0"/>
        <v>10400</v>
      </c>
      <c r="L126" s="8" t="str">
        <f t="shared" si="7"/>
        <v>20220111</v>
      </c>
      <c r="M126" s="8" t="str">
        <f t="shared" si="5"/>
        <v>Sam's RNA Box #3</v>
      </c>
      <c r="N126" s="5" t="s">
        <v>384</v>
      </c>
      <c r="O126" s="5" t="s">
        <v>385</v>
      </c>
    </row>
    <row r="127" spans="1:15" x14ac:dyDescent="0.25">
      <c r="A127" s="7" t="s">
        <v>381</v>
      </c>
      <c r="B127" s="10" t="s">
        <v>512</v>
      </c>
      <c r="C127" s="10" t="s">
        <v>54</v>
      </c>
      <c r="D127" s="10" t="s">
        <v>520</v>
      </c>
      <c r="E127" s="5" t="s">
        <v>411</v>
      </c>
      <c r="F127" s="5" t="str">
        <f>VLOOKUP(C127,key!A:P,4,FALSE)</f>
        <v>OW</v>
      </c>
      <c r="G127" s="5">
        <f>VLOOKUP(C127,key!A:P,5,FALSE)</f>
        <v>3</v>
      </c>
      <c r="H127" s="5">
        <f>VLOOKUP(C127,key!A:N,14,FALSE)</f>
        <v>1</v>
      </c>
      <c r="I127" s="9">
        <v>130</v>
      </c>
      <c r="J127" s="5">
        <v>100</v>
      </c>
      <c r="K127" s="5">
        <f t="shared" si="0"/>
        <v>13000</v>
      </c>
      <c r="L127" s="8" t="str">
        <f t="shared" si="7"/>
        <v>20220111</v>
      </c>
      <c r="M127" s="8" t="str">
        <f t="shared" si="5"/>
        <v>Sam's RNA Box #3</v>
      </c>
      <c r="N127" s="5" t="s">
        <v>384</v>
      </c>
      <c r="O127" s="5" t="s">
        <v>385</v>
      </c>
    </row>
    <row r="128" spans="1:15" x14ac:dyDescent="0.25">
      <c r="A128" s="7" t="s">
        <v>381</v>
      </c>
      <c r="B128" s="7" t="s">
        <v>513</v>
      </c>
      <c r="C128" s="7" t="s">
        <v>55</v>
      </c>
      <c r="D128" s="7" t="s">
        <v>520</v>
      </c>
      <c r="E128" s="5" t="s">
        <v>411</v>
      </c>
      <c r="F128" s="5" t="str">
        <f>VLOOKUP(C128,key!A:P,4,FALSE)</f>
        <v>OW</v>
      </c>
      <c r="G128" s="5">
        <f>VLOOKUP(C128,key!A:P,5,FALSE)</f>
        <v>3</v>
      </c>
      <c r="H128" s="5">
        <f>VLOOKUP(C128,key!A:N,14,FALSE)</f>
        <v>1</v>
      </c>
      <c r="I128" s="9">
        <v>50.4</v>
      </c>
      <c r="J128" s="5">
        <v>100</v>
      </c>
      <c r="K128" s="5">
        <f t="shared" si="0"/>
        <v>5040</v>
      </c>
      <c r="L128" s="8" t="str">
        <f t="shared" ref="L128:L133" si="8">HYPERLINK("https://robertslab.github.io/sams-notebook/2022/01/12/RNA-Isolation-M.trossulus-Gill.html", "20220112")</f>
        <v>20220112</v>
      </c>
      <c r="M128" s="8" t="str">
        <f t="shared" si="5"/>
        <v>Sam's RNA Box #3</v>
      </c>
      <c r="N128" s="5" t="s">
        <v>384</v>
      </c>
      <c r="O128" s="5" t="s">
        <v>385</v>
      </c>
    </row>
    <row r="129" spans="1:15" x14ac:dyDescent="0.25">
      <c r="A129" s="7" t="s">
        <v>381</v>
      </c>
      <c r="B129" s="7" t="s">
        <v>514</v>
      </c>
      <c r="C129" s="7" t="s">
        <v>56</v>
      </c>
      <c r="D129" s="7" t="s">
        <v>520</v>
      </c>
      <c r="E129" s="5" t="s">
        <v>411</v>
      </c>
      <c r="F129" s="5" t="str">
        <f>VLOOKUP(C129,key!A:P,4,FALSE)</f>
        <v>OW</v>
      </c>
      <c r="G129" s="5">
        <f>VLOOKUP(C129,key!A:P,5,FALSE)</f>
        <v>3</v>
      </c>
      <c r="H129" s="5">
        <f>VLOOKUP(C129,key!A:N,14,FALSE)</f>
        <v>1</v>
      </c>
      <c r="I129" s="7">
        <v>86</v>
      </c>
      <c r="J129" s="5">
        <v>140</v>
      </c>
      <c r="K129" s="5">
        <f t="shared" si="0"/>
        <v>12040</v>
      </c>
      <c r="L129" s="8" t="str">
        <f t="shared" si="8"/>
        <v>20220112</v>
      </c>
      <c r="M129" s="8" t="str">
        <f t="shared" si="5"/>
        <v>Sam's RNA Box #3</v>
      </c>
      <c r="N129" s="5" t="s">
        <v>384</v>
      </c>
      <c r="O129" s="5" t="s">
        <v>385</v>
      </c>
    </row>
    <row r="130" spans="1:15" x14ac:dyDescent="0.25">
      <c r="A130" s="7" t="s">
        <v>381</v>
      </c>
      <c r="B130" s="7" t="s">
        <v>515</v>
      </c>
      <c r="C130" s="7" t="s">
        <v>57</v>
      </c>
      <c r="D130" s="7" t="s">
        <v>520</v>
      </c>
      <c r="E130" s="5" t="s">
        <v>411</v>
      </c>
      <c r="F130" s="5" t="str">
        <f>VLOOKUP(C130,key!A:P,4,FALSE)</f>
        <v>OW</v>
      </c>
      <c r="G130" s="5">
        <f>VLOOKUP(C130,key!A:P,5,FALSE)</f>
        <v>3</v>
      </c>
      <c r="H130" s="5">
        <f>VLOOKUP(C130,key!A:N,14,FALSE)</f>
        <v>1</v>
      </c>
      <c r="I130" s="9">
        <v>56.8</v>
      </c>
      <c r="J130" s="5">
        <v>100</v>
      </c>
      <c r="K130" s="5">
        <f t="shared" si="0"/>
        <v>5680</v>
      </c>
      <c r="L130" s="8" t="str">
        <f t="shared" si="8"/>
        <v>20220112</v>
      </c>
      <c r="M130" s="8" t="str">
        <f t="shared" si="5"/>
        <v>Sam's RNA Box #3</v>
      </c>
      <c r="N130" s="5" t="s">
        <v>384</v>
      </c>
      <c r="O130" s="5" t="s">
        <v>385</v>
      </c>
    </row>
    <row r="131" spans="1:15" x14ac:dyDescent="0.25">
      <c r="A131" s="7" t="s">
        <v>381</v>
      </c>
      <c r="B131" s="7" t="s">
        <v>516</v>
      </c>
      <c r="C131" s="7" t="s">
        <v>58</v>
      </c>
      <c r="D131" s="7" t="s">
        <v>520</v>
      </c>
      <c r="E131" s="5" t="s">
        <v>411</v>
      </c>
      <c r="F131" s="5" t="str">
        <f>VLOOKUP(C131,key!A:P,4,FALSE)</f>
        <v>OW</v>
      </c>
      <c r="G131" s="5">
        <f>VLOOKUP(C131,key!A:P,5,FALSE)</f>
        <v>3</v>
      </c>
      <c r="H131" s="5">
        <f>VLOOKUP(C131,key!A:N,14,FALSE)</f>
        <v>1</v>
      </c>
      <c r="I131" s="9">
        <v>52.6</v>
      </c>
      <c r="J131" s="5">
        <v>100</v>
      </c>
      <c r="K131" s="5">
        <f t="shared" si="0"/>
        <v>5260</v>
      </c>
      <c r="L131" s="8" t="str">
        <f t="shared" si="8"/>
        <v>20220112</v>
      </c>
      <c r="M131" s="8" t="str">
        <f t="shared" si="5"/>
        <v>Sam's RNA Box #3</v>
      </c>
      <c r="N131" s="5" t="s">
        <v>384</v>
      </c>
      <c r="O131" s="5" t="s">
        <v>385</v>
      </c>
    </row>
    <row r="132" spans="1:15" x14ac:dyDescent="0.25">
      <c r="A132" s="7" t="s">
        <v>381</v>
      </c>
      <c r="B132" s="7" t="s">
        <v>517</v>
      </c>
      <c r="C132" s="7" t="s">
        <v>59</v>
      </c>
      <c r="D132" s="7" t="s">
        <v>520</v>
      </c>
      <c r="E132" s="5" t="s">
        <v>411</v>
      </c>
      <c r="F132" s="5" t="str">
        <f>VLOOKUP(C132,key!A:P,4,FALSE)</f>
        <v>OW</v>
      </c>
      <c r="G132" s="5">
        <f>VLOOKUP(C132,key!A:P,5,FALSE)</f>
        <v>3</v>
      </c>
      <c r="H132" s="5">
        <f>VLOOKUP(C132,key!A:N,14,FALSE)</f>
        <v>1</v>
      </c>
      <c r="I132" s="9">
        <v>118</v>
      </c>
      <c r="J132" s="5">
        <v>100</v>
      </c>
      <c r="K132" s="5">
        <f t="shared" si="0"/>
        <v>11800</v>
      </c>
      <c r="L132" s="8" t="str">
        <f t="shared" si="8"/>
        <v>20220112</v>
      </c>
      <c r="M132" s="8" t="str">
        <f t="shared" si="5"/>
        <v>Sam's RNA Box #3</v>
      </c>
      <c r="N132" s="5" t="s">
        <v>384</v>
      </c>
      <c r="O132" s="5" t="s">
        <v>385</v>
      </c>
    </row>
    <row r="133" spans="1:15" x14ac:dyDescent="0.25">
      <c r="A133" s="7" t="s">
        <v>381</v>
      </c>
      <c r="B133" s="7" t="s">
        <v>518</v>
      </c>
      <c r="C133" s="7" t="s">
        <v>60</v>
      </c>
      <c r="D133" s="7" t="s">
        <v>520</v>
      </c>
      <c r="E133" s="5" t="s">
        <v>411</v>
      </c>
      <c r="F133" s="5" t="str">
        <f>VLOOKUP(C133,key!A:P,4,FALSE)</f>
        <v>OW</v>
      </c>
      <c r="G133" s="5">
        <f>VLOOKUP(C133,key!A:P,5,FALSE)</f>
        <v>3</v>
      </c>
      <c r="H133" s="5">
        <f>VLOOKUP(C133,key!A:N,14,FALSE)</f>
        <v>1</v>
      </c>
      <c r="I133" s="9">
        <v>45</v>
      </c>
      <c r="J133" s="5">
        <v>100</v>
      </c>
      <c r="K133" s="5">
        <f t="shared" si="0"/>
        <v>4500</v>
      </c>
      <c r="L133" s="8" t="str">
        <f t="shared" si="8"/>
        <v>20220112</v>
      </c>
      <c r="M133" s="8" t="str">
        <f t="shared" si="5"/>
        <v>Sam's RNA Box #3</v>
      </c>
      <c r="N133" s="5" t="s">
        <v>384</v>
      </c>
      <c r="O133" s="5" t="s">
        <v>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D595-C86D-40AF-BEFA-2E8A7993C158}">
  <dimension ref="A1:O121"/>
  <sheetViews>
    <sheetView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2" width="9.140625" style="1"/>
    <col min="3" max="3" width="8.42578125" style="1" bestFit="1" customWidth="1"/>
    <col min="4" max="4" width="14.5703125" style="1" bestFit="1" customWidth="1"/>
    <col min="5" max="5" width="3.7109375" style="1" bestFit="1" customWidth="1"/>
    <col min="6" max="6" width="16.140625" style="1" bestFit="1" customWidth="1"/>
    <col min="7" max="7" width="12.140625" style="1" customWidth="1"/>
    <col min="8" max="11" width="9.140625" style="1"/>
    <col min="12" max="12" width="9.7109375" style="1" bestFit="1" customWidth="1"/>
    <col min="13" max="13" width="11" style="1" bestFit="1" customWidth="1"/>
    <col min="14" max="15" width="9.140625" style="1"/>
  </cols>
  <sheetData>
    <row r="1" spans="1:15" x14ac:dyDescent="0.25">
      <c r="A1" s="1" t="s">
        <v>174</v>
      </c>
      <c r="B1" s="1" t="s">
        <v>150</v>
      </c>
      <c r="C1" s="1" t="s">
        <v>137</v>
      </c>
      <c r="D1" s="1" t="s">
        <v>28</v>
      </c>
      <c r="E1" s="1" t="s">
        <v>136</v>
      </c>
      <c r="F1" s="1" t="s">
        <v>173</v>
      </c>
      <c r="G1" s="1" t="s">
        <v>0</v>
      </c>
      <c r="H1" s="3" t="s">
        <v>1</v>
      </c>
      <c r="I1" s="3" t="s">
        <v>2</v>
      </c>
      <c r="J1" s="3" t="s">
        <v>3</v>
      </c>
      <c r="K1" s="3" t="s">
        <v>29</v>
      </c>
      <c r="L1" s="1" t="s">
        <v>4</v>
      </c>
      <c r="M1" s="1" t="s">
        <v>5</v>
      </c>
      <c r="N1" s="3" t="s">
        <v>6</v>
      </c>
      <c r="O1" s="3" t="s">
        <v>7</v>
      </c>
    </row>
    <row r="2" spans="1:15" x14ac:dyDescent="0.25">
      <c r="A2" s="1" t="s">
        <v>140</v>
      </c>
      <c r="B2" s="1" t="s">
        <v>151</v>
      </c>
      <c r="C2" s="1" t="s">
        <v>138</v>
      </c>
      <c r="D2" s="1" t="s">
        <v>101</v>
      </c>
      <c r="E2" s="1">
        <v>0</v>
      </c>
      <c r="F2" s="1" t="s">
        <v>357</v>
      </c>
      <c r="G2" s="2">
        <v>44491</v>
      </c>
      <c r="H2" s="1">
        <v>64</v>
      </c>
      <c r="I2" s="1">
        <v>36</v>
      </c>
      <c r="J2" s="1">
        <v>23</v>
      </c>
      <c r="K2" s="3">
        <v>71</v>
      </c>
      <c r="L2" s="1">
        <v>1.22</v>
      </c>
      <c r="M2" s="1">
        <v>0.33</v>
      </c>
      <c r="N2" s="3">
        <v>4.6539306640624991</v>
      </c>
      <c r="O2" s="3">
        <v>27</v>
      </c>
    </row>
    <row r="3" spans="1:15" x14ac:dyDescent="0.25">
      <c r="A3" s="1" t="s">
        <v>141</v>
      </c>
      <c r="B3" s="1" t="s">
        <v>151</v>
      </c>
      <c r="C3" s="1" t="s">
        <v>138</v>
      </c>
      <c r="D3" s="1" t="s">
        <v>101</v>
      </c>
      <c r="E3" s="1">
        <v>0</v>
      </c>
      <c r="F3" s="1" t="s">
        <v>357</v>
      </c>
      <c r="G3" s="2">
        <v>44491</v>
      </c>
      <c r="H3" s="1">
        <v>59</v>
      </c>
      <c r="I3" s="1">
        <v>32</v>
      </c>
      <c r="J3" s="1">
        <v>22</v>
      </c>
      <c r="K3" s="3">
        <v>55</v>
      </c>
      <c r="L3" s="1">
        <v>1.1100000000000001</v>
      </c>
      <c r="M3" s="1">
        <v>0.32000000000000006</v>
      </c>
      <c r="N3" s="3">
        <v>5.4046421493920995</v>
      </c>
      <c r="O3" s="3">
        <v>29</v>
      </c>
    </row>
    <row r="4" spans="1:15" x14ac:dyDescent="0.25">
      <c r="A4" s="1" t="s">
        <v>142</v>
      </c>
      <c r="B4" s="1" t="s">
        <v>151</v>
      </c>
      <c r="C4" s="1" t="s">
        <v>138</v>
      </c>
      <c r="D4" s="1" t="s">
        <v>101</v>
      </c>
      <c r="E4" s="1">
        <v>0</v>
      </c>
      <c r="F4" s="1" t="s">
        <v>357</v>
      </c>
      <c r="G4" s="2">
        <v>44491</v>
      </c>
      <c r="H4" s="1">
        <v>57</v>
      </c>
      <c r="I4" s="1">
        <v>30</v>
      </c>
      <c r="J4" s="1">
        <v>20</v>
      </c>
      <c r="K4" s="3">
        <v>46</v>
      </c>
      <c r="L4" s="1">
        <v>1.27</v>
      </c>
      <c r="M4" s="1">
        <v>0.45000000000000007</v>
      </c>
      <c r="N4" s="3">
        <v>6.8577106046124845</v>
      </c>
      <c r="O4" s="3">
        <v>35</v>
      </c>
    </row>
    <row r="5" spans="1:15" x14ac:dyDescent="0.25">
      <c r="A5" s="1" t="s">
        <v>143</v>
      </c>
      <c r="B5" s="1" t="s">
        <v>151</v>
      </c>
      <c r="C5" s="1" t="s">
        <v>138</v>
      </c>
      <c r="D5" s="1" t="s">
        <v>101</v>
      </c>
      <c r="E5" s="1">
        <v>0</v>
      </c>
      <c r="F5" s="1" t="s">
        <v>357</v>
      </c>
      <c r="G5" s="2">
        <v>44491</v>
      </c>
      <c r="H5" s="1">
        <v>58</v>
      </c>
      <c r="I5" s="1">
        <v>32</v>
      </c>
      <c r="J5" s="1">
        <v>22</v>
      </c>
      <c r="K5" s="3">
        <v>54</v>
      </c>
      <c r="L5" s="1">
        <v>0.87</v>
      </c>
      <c r="M5" s="1">
        <v>0.17000000000000004</v>
      </c>
      <c r="N5" s="3">
        <v>4.4589774078477999</v>
      </c>
      <c r="O5" s="3">
        <v>20</v>
      </c>
    </row>
    <row r="6" spans="1:15" x14ac:dyDescent="0.25">
      <c r="A6" s="1" t="s">
        <v>144</v>
      </c>
      <c r="B6" s="1" t="s">
        <v>151</v>
      </c>
      <c r="C6" s="1" t="s">
        <v>138</v>
      </c>
      <c r="D6" s="1" t="s">
        <v>101</v>
      </c>
      <c r="E6" s="1">
        <v>0</v>
      </c>
      <c r="F6" s="1" t="s">
        <v>357</v>
      </c>
      <c r="G6" s="2">
        <v>44491</v>
      </c>
      <c r="H6" s="1">
        <v>65</v>
      </c>
      <c r="I6" s="1">
        <v>32</v>
      </c>
      <c r="J6" s="1">
        <v>25</v>
      </c>
      <c r="K6" s="3">
        <v>69</v>
      </c>
      <c r="L6" s="1">
        <v>1.7</v>
      </c>
      <c r="M6" s="1">
        <v>0.66</v>
      </c>
      <c r="N6" s="3">
        <v>6.1902594446973147</v>
      </c>
      <c r="O6" s="3">
        <v>39</v>
      </c>
    </row>
    <row r="7" spans="1:15" x14ac:dyDescent="0.25">
      <c r="A7" s="1" t="s">
        <v>145</v>
      </c>
      <c r="B7" s="1" t="s">
        <v>151</v>
      </c>
      <c r="C7" s="1" t="s">
        <v>138</v>
      </c>
      <c r="D7" s="1" t="s">
        <v>101</v>
      </c>
      <c r="E7" s="1">
        <v>0</v>
      </c>
      <c r="F7" s="1" t="s">
        <v>357</v>
      </c>
      <c r="G7" s="2">
        <v>44491</v>
      </c>
      <c r="H7" s="1">
        <v>58</v>
      </c>
      <c r="I7" s="1">
        <v>32</v>
      </c>
      <c r="J7" s="1">
        <v>22</v>
      </c>
      <c r="K7" s="3">
        <v>54</v>
      </c>
      <c r="L7" s="1">
        <v>1.06</v>
      </c>
      <c r="M7" s="1">
        <v>0.29000000000000004</v>
      </c>
      <c r="N7" s="3">
        <v>5.4327770716306532</v>
      </c>
      <c r="O7" s="3">
        <v>27</v>
      </c>
    </row>
    <row r="8" spans="1:15" x14ac:dyDescent="0.25">
      <c r="A8" s="1" t="s">
        <v>146</v>
      </c>
      <c r="B8" s="1" t="s">
        <v>151</v>
      </c>
      <c r="C8" s="1" t="s">
        <v>138</v>
      </c>
      <c r="D8" s="1" t="s">
        <v>101</v>
      </c>
      <c r="E8" s="1">
        <v>0</v>
      </c>
      <c r="F8" s="1" t="s">
        <v>357</v>
      </c>
      <c r="G8" s="2">
        <v>44491</v>
      </c>
      <c r="H8" s="1">
        <v>57</v>
      </c>
      <c r="I8" s="1">
        <v>31</v>
      </c>
      <c r="J8" s="1">
        <v>19</v>
      </c>
      <c r="K8" s="3">
        <v>45</v>
      </c>
      <c r="L8" s="1">
        <v>1.05</v>
      </c>
      <c r="M8" s="1">
        <v>0.19000000000000006</v>
      </c>
      <c r="N8" s="3">
        <v>5.6697607360969364</v>
      </c>
      <c r="O8" s="3">
        <v>18</v>
      </c>
    </row>
    <row r="9" spans="1:15" x14ac:dyDescent="0.25">
      <c r="A9" s="1" t="s">
        <v>147</v>
      </c>
      <c r="B9" s="1" t="s">
        <v>151</v>
      </c>
      <c r="C9" s="1" t="s">
        <v>138</v>
      </c>
      <c r="D9" s="1" t="s">
        <v>101</v>
      </c>
      <c r="E9" s="1">
        <v>0</v>
      </c>
      <c r="F9" s="1" t="s">
        <v>357</v>
      </c>
      <c r="G9" s="2">
        <v>44491</v>
      </c>
      <c r="H9" s="1">
        <v>56</v>
      </c>
      <c r="I9" s="1">
        <v>32</v>
      </c>
      <c r="J9" s="1">
        <v>20</v>
      </c>
      <c r="K9" s="3">
        <v>48</v>
      </c>
      <c r="L9" s="1">
        <v>0.68</v>
      </c>
      <c r="M9" s="1">
        <v>0.14000000000000001</v>
      </c>
      <c r="N9" s="3">
        <v>3.8720845481049575</v>
      </c>
      <c r="O9" s="3">
        <v>21</v>
      </c>
    </row>
    <row r="10" spans="1:15" x14ac:dyDescent="0.25">
      <c r="A10" s="1" t="s">
        <v>148</v>
      </c>
      <c r="B10" s="1" t="s">
        <v>151</v>
      </c>
      <c r="C10" s="1" t="s">
        <v>138</v>
      </c>
      <c r="D10" s="1" t="s">
        <v>101</v>
      </c>
      <c r="E10" s="1">
        <v>0</v>
      </c>
      <c r="F10" s="1" t="s">
        <v>357</v>
      </c>
      <c r="G10" s="2">
        <v>44491</v>
      </c>
      <c r="H10" s="1">
        <v>63</v>
      </c>
      <c r="I10" s="1">
        <v>34</v>
      </c>
      <c r="J10" s="1">
        <v>22</v>
      </c>
      <c r="K10" s="3">
        <v>63</v>
      </c>
      <c r="L10" s="1">
        <v>1.1100000000000001</v>
      </c>
      <c r="M10" s="1">
        <v>0.29000000000000015</v>
      </c>
      <c r="N10" s="3">
        <v>4.4391654368978646</v>
      </c>
      <c r="O10" s="3">
        <v>26</v>
      </c>
    </row>
    <row r="11" spans="1:15" x14ac:dyDescent="0.25">
      <c r="A11" s="1" t="s">
        <v>149</v>
      </c>
      <c r="B11" s="1" t="s">
        <v>151</v>
      </c>
      <c r="C11" s="1" t="s">
        <v>138</v>
      </c>
      <c r="D11" s="1" t="s">
        <v>101</v>
      </c>
      <c r="E11" s="1">
        <v>0</v>
      </c>
      <c r="F11" s="1" t="s">
        <v>357</v>
      </c>
      <c r="G11" s="2">
        <v>44491</v>
      </c>
      <c r="H11" s="1">
        <v>67</v>
      </c>
      <c r="I11" s="1">
        <v>35</v>
      </c>
      <c r="J11" s="1">
        <v>22</v>
      </c>
      <c r="K11" s="3">
        <v>69</v>
      </c>
      <c r="L11" s="1">
        <v>1.33</v>
      </c>
      <c r="M11" s="1">
        <v>0.43000000000000005</v>
      </c>
      <c r="N11" s="3">
        <v>4.422086493351908</v>
      </c>
      <c r="O11" s="3">
        <v>32</v>
      </c>
    </row>
    <row r="12" spans="1:15" x14ac:dyDescent="0.25">
      <c r="A12" s="1" t="s">
        <v>163</v>
      </c>
      <c r="B12" s="1" t="s">
        <v>151</v>
      </c>
      <c r="C12" s="1" t="s">
        <v>138</v>
      </c>
      <c r="D12" s="1" t="s">
        <v>101</v>
      </c>
      <c r="E12" s="1">
        <v>0</v>
      </c>
      <c r="F12" s="1" t="s">
        <v>357</v>
      </c>
      <c r="G12" s="2">
        <v>44491</v>
      </c>
      <c r="H12" s="1">
        <v>55</v>
      </c>
      <c r="I12" s="1">
        <v>30</v>
      </c>
      <c r="J12" s="1">
        <v>21</v>
      </c>
      <c r="K12" s="3">
        <v>46</v>
      </c>
      <c r="L12" s="1">
        <v>0.73</v>
      </c>
      <c r="M12" s="1">
        <v>0.25</v>
      </c>
      <c r="N12" s="3">
        <v>4.3876784372652144</v>
      </c>
      <c r="O12" s="3">
        <v>34</v>
      </c>
    </row>
    <row r="13" spans="1:15" x14ac:dyDescent="0.25">
      <c r="A13" s="1" t="s">
        <v>164</v>
      </c>
      <c r="B13" s="1" t="s">
        <v>151</v>
      </c>
      <c r="C13" s="1" t="s">
        <v>138</v>
      </c>
      <c r="D13" s="1" t="s">
        <v>101</v>
      </c>
      <c r="E13" s="1">
        <v>0</v>
      </c>
      <c r="F13" s="1" t="s">
        <v>357</v>
      </c>
      <c r="G13" s="2">
        <v>44491</v>
      </c>
      <c r="H13" s="1">
        <v>42</v>
      </c>
      <c r="I13" s="1">
        <v>22</v>
      </c>
      <c r="J13" s="1">
        <v>15</v>
      </c>
      <c r="K13" s="3">
        <v>18</v>
      </c>
      <c r="L13" s="1">
        <v>0.43</v>
      </c>
      <c r="M13" s="1">
        <v>0.13</v>
      </c>
      <c r="N13" s="3">
        <v>5.8039088651333541</v>
      </c>
      <c r="O13" s="3">
        <v>30</v>
      </c>
    </row>
    <row r="14" spans="1:15" x14ac:dyDescent="0.25">
      <c r="A14" s="1" t="s">
        <v>165</v>
      </c>
      <c r="B14" s="1" t="s">
        <v>151</v>
      </c>
      <c r="C14" s="1" t="s">
        <v>138</v>
      </c>
      <c r="D14" s="1" t="s">
        <v>101</v>
      </c>
      <c r="E14" s="1">
        <v>0</v>
      </c>
      <c r="F14" s="1" t="s">
        <v>357</v>
      </c>
      <c r="G14" s="2">
        <v>44491</v>
      </c>
      <c r="H14" s="1">
        <v>61</v>
      </c>
      <c r="I14" s="1">
        <v>34</v>
      </c>
      <c r="J14" s="1">
        <v>23</v>
      </c>
      <c r="K14" s="3">
        <v>64</v>
      </c>
      <c r="L14" s="1">
        <v>1.24</v>
      </c>
      <c r="M14" s="1">
        <v>0.22</v>
      </c>
      <c r="N14" s="3">
        <v>5.4630123226173124</v>
      </c>
      <c r="O14" s="3">
        <v>18</v>
      </c>
    </row>
    <row r="15" spans="1:15" x14ac:dyDescent="0.25">
      <c r="A15" s="1" t="s">
        <v>166</v>
      </c>
      <c r="B15" s="1" t="s">
        <v>151</v>
      </c>
      <c r="C15" s="1" t="s">
        <v>138</v>
      </c>
      <c r="D15" s="1" t="s">
        <v>101</v>
      </c>
      <c r="E15" s="1">
        <v>0</v>
      </c>
      <c r="F15" s="1" t="s">
        <v>357</v>
      </c>
      <c r="G15" s="2">
        <v>44491</v>
      </c>
      <c r="H15" s="1">
        <v>54</v>
      </c>
      <c r="I15" s="1">
        <v>26</v>
      </c>
      <c r="J15" s="1">
        <v>21</v>
      </c>
      <c r="K15" s="3">
        <v>39</v>
      </c>
      <c r="L15" s="1">
        <v>0.93</v>
      </c>
      <c r="M15" s="1">
        <v>0.22</v>
      </c>
      <c r="N15" s="3">
        <v>5.9061118731900617</v>
      </c>
      <c r="O15" s="3">
        <v>24</v>
      </c>
    </row>
    <row r="16" spans="1:15" x14ac:dyDescent="0.25">
      <c r="A16" s="1" t="s">
        <v>167</v>
      </c>
      <c r="B16" s="1" t="s">
        <v>151</v>
      </c>
      <c r="C16" s="1" t="s">
        <v>138</v>
      </c>
      <c r="D16" s="1" t="s">
        <v>101</v>
      </c>
      <c r="E16" s="1">
        <v>0</v>
      </c>
      <c r="F16" s="1" t="s">
        <v>357</v>
      </c>
      <c r="G16" s="2">
        <v>44491</v>
      </c>
      <c r="H16" s="3">
        <v>55</v>
      </c>
      <c r="I16" s="1">
        <v>30</v>
      </c>
      <c r="J16" s="1">
        <v>21</v>
      </c>
      <c r="K16" s="3">
        <v>46</v>
      </c>
      <c r="L16" s="1">
        <v>0.65</v>
      </c>
      <c r="M16" s="1">
        <v>0.18</v>
      </c>
      <c r="N16" s="3">
        <v>3.9068369646882046</v>
      </c>
      <c r="O16" s="3">
        <v>28</v>
      </c>
    </row>
    <row r="17" spans="1:15" x14ac:dyDescent="0.25">
      <c r="A17" s="1" t="s">
        <v>297</v>
      </c>
      <c r="B17" s="1" t="s">
        <v>151</v>
      </c>
      <c r="C17" s="1" t="s">
        <v>138</v>
      </c>
      <c r="D17" s="1" t="s">
        <v>31</v>
      </c>
      <c r="E17" s="1">
        <v>3</v>
      </c>
      <c r="F17" s="1" t="s">
        <v>358</v>
      </c>
      <c r="G17" s="4">
        <v>44498</v>
      </c>
      <c r="H17" s="3">
        <v>50</v>
      </c>
      <c r="I17" s="1">
        <v>29</v>
      </c>
      <c r="J17" s="1">
        <v>17</v>
      </c>
      <c r="K17" s="3">
        <v>33</v>
      </c>
      <c r="L17" s="1">
        <v>0.94</v>
      </c>
      <c r="M17" s="1">
        <v>0.34</v>
      </c>
      <c r="N17" s="3">
        <v>7.52</v>
      </c>
      <c r="O17" s="3">
        <v>36</v>
      </c>
    </row>
    <row r="18" spans="1:15" x14ac:dyDescent="0.25">
      <c r="A18" s="1" t="s">
        <v>298</v>
      </c>
      <c r="B18" s="1" t="s">
        <v>151</v>
      </c>
      <c r="C18" s="1" t="s">
        <v>138</v>
      </c>
      <c r="D18" s="1" t="s">
        <v>31</v>
      </c>
      <c r="E18" s="1">
        <v>3</v>
      </c>
      <c r="F18" s="1" t="s">
        <v>358</v>
      </c>
      <c r="G18" s="4">
        <v>44498</v>
      </c>
      <c r="H18" s="3">
        <v>46</v>
      </c>
      <c r="I18" s="1">
        <v>26</v>
      </c>
      <c r="J18" s="1">
        <v>17</v>
      </c>
      <c r="K18" s="3">
        <v>27</v>
      </c>
      <c r="L18" s="1">
        <v>0.25</v>
      </c>
      <c r="M18" s="1">
        <v>0.06</v>
      </c>
      <c r="N18" s="3">
        <v>2.5684227829374544</v>
      </c>
      <c r="O18" s="3">
        <v>24</v>
      </c>
    </row>
    <row r="19" spans="1:15" x14ac:dyDescent="0.25">
      <c r="A19" s="1" t="s">
        <v>299</v>
      </c>
      <c r="B19" s="1" t="s">
        <v>151</v>
      </c>
      <c r="C19" s="1" t="s">
        <v>138</v>
      </c>
      <c r="D19" s="1" t="s">
        <v>31</v>
      </c>
      <c r="E19" s="1">
        <v>3</v>
      </c>
      <c r="F19" s="1" t="s">
        <v>358</v>
      </c>
      <c r="G19" s="4">
        <v>44498</v>
      </c>
      <c r="H19" s="3">
        <v>68</v>
      </c>
      <c r="I19" s="1">
        <v>35</v>
      </c>
      <c r="J19" s="1">
        <v>24</v>
      </c>
      <c r="K19" s="3">
        <v>76</v>
      </c>
      <c r="L19" s="1">
        <v>1.39</v>
      </c>
      <c r="M19" s="1">
        <v>0.25</v>
      </c>
      <c r="N19" s="3">
        <v>4.4206696519438227</v>
      </c>
      <c r="O19" s="3">
        <v>18</v>
      </c>
    </row>
    <row r="20" spans="1:15" x14ac:dyDescent="0.25">
      <c r="A20" s="1" t="s">
        <v>300</v>
      </c>
      <c r="B20" s="1" t="s">
        <v>151</v>
      </c>
      <c r="C20" s="1" t="s">
        <v>138</v>
      </c>
      <c r="D20" s="1" t="s">
        <v>31</v>
      </c>
      <c r="E20" s="1">
        <v>3</v>
      </c>
      <c r="F20" s="1" t="s">
        <v>358</v>
      </c>
      <c r="G20" s="4">
        <v>44498</v>
      </c>
      <c r="H20" s="3">
        <v>56</v>
      </c>
      <c r="I20" s="1">
        <v>29</v>
      </c>
      <c r="J20" s="1">
        <v>20</v>
      </c>
      <c r="K20" s="3">
        <v>43</v>
      </c>
      <c r="L20" s="1">
        <v>0.59000000000000008</v>
      </c>
      <c r="M20" s="1">
        <v>0.12</v>
      </c>
      <c r="N20" s="3">
        <v>3.3596027696793014</v>
      </c>
      <c r="O20" s="3">
        <v>20</v>
      </c>
    </row>
    <row r="21" spans="1:15" x14ac:dyDescent="0.25">
      <c r="A21" s="1" t="s">
        <v>301</v>
      </c>
      <c r="B21" s="1" t="s">
        <v>151</v>
      </c>
      <c r="C21" s="1" t="s">
        <v>138</v>
      </c>
      <c r="D21" s="1" t="s">
        <v>31</v>
      </c>
      <c r="E21" s="1">
        <v>3</v>
      </c>
      <c r="F21" s="1" t="s">
        <v>358</v>
      </c>
      <c r="G21" s="4">
        <v>44498</v>
      </c>
      <c r="H21" s="3">
        <v>61</v>
      </c>
      <c r="I21" s="1">
        <v>30</v>
      </c>
      <c r="J21" s="1">
        <v>22</v>
      </c>
      <c r="K21" s="3">
        <v>54</v>
      </c>
      <c r="L21" s="1">
        <v>1.02</v>
      </c>
      <c r="M21" s="1">
        <v>0.23</v>
      </c>
      <c r="N21" s="3">
        <v>4.4937682008626281</v>
      </c>
      <c r="O21" s="3">
        <v>23</v>
      </c>
    </row>
    <row r="22" spans="1:15" x14ac:dyDescent="0.25">
      <c r="A22" s="1" t="s">
        <v>302</v>
      </c>
      <c r="B22" s="1" t="s">
        <v>151</v>
      </c>
      <c r="C22" s="1" t="s">
        <v>138</v>
      </c>
      <c r="D22" s="1" t="s">
        <v>31</v>
      </c>
      <c r="E22" s="1">
        <v>3</v>
      </c>
      <c r="F22" s="1" t="s">
        <v>358</v>
      </c>
      <c r="G22" s="4">
        <v>44498</v>
      </c>
      <c r="H22" s="3">
        <v>59</v>
      </c>
      <c r="I22" s="1">
        <v>29</v>
      </c>
      <c r="J22" s="1">
        <v>21</v>
      </c>
      <c r="K22" s="3">
        <v>48</v>
      </c>
      <c r="L22" s="1">
        <v>1.21</v>
      </c>
      <c r="M22" s="1">
        <v>0.43</v>
      </c>
      <c r="N22" s="3">
        <v>5.8915468475355315</v>
      </c>
      <c r="O22" s="3">
        <v>36</v>
      </c>
    </row>
    <row r="23" spans="1:15" x14ac:dyDescent="0.25">
      <c r="A23" s="1" t="s">
        <v>303</v>
      </c>
      <c r="B23" s="1" t="s">
        <v>151</v>
      </c>
      <c r="C23" s="1" t="s">
        <v>138</v>
      </c>
      <c r="D23" s="1" t="s">
        <v>31</v>
      </c>
      <c r="E23" s="1">
        <v>3</v>
      </c>
      <c r="F23" s="1" t="s">
        <v>358</v>
      </c>
      <c r="G23" s="4">
        <v>44498</v>
      </c>
      <c r="H23" s="3">
        <v>57</v>
      </c>
      <c r="I23" s="1">
        <v>29</v>
      </c>
      <c r="J23" s="1">
        <v>21</v>
      </c>
      <c r="K23" s="3">
        <v>46</v>
      </c>
      <c r="L23" s="1">
        <v>1.1100000000000001</v>
      </c>
      <c r="M23" s="1">
        <v>0.2</v>
      </c>
      <c r="N23" s="3">
        <v>5.9937470638739052</v>
      </c>
      <c r="O23" s="3">
        <v>18</v>
      </c>
    </row>
    <row r="24" spans="1:15" x14ac:dyDescent="0.25">
      <c r="A24" s="1" t="s">
        <v>304</v>
      </c>
      <c r="B24" s="1" t="s">
        <v>151</v>
      </c>
      <c r="C24" s="1" t="s">
        <v>138</v>
      </c>
      <c r="D24" s="1" t="s">
        <v>31</v>
      </c>
      <c r="E24" s="1">
        <v>3</v>
      </c>
      <c r="F24" s="1" t="s">
        <v>358</v>
      </c>
      <c r="G24" s="4">
        <v>44498</v>
      </c>
      <c r="H24" s="3">
        <v>46</v>
      </c>
      <c r="I24" s="1">
        <v>23</v>
      </c>
      <c r="J24" s="1">
        <v>18</v>
      </c>
      <c r="K24" s="3">
        <v>25</v>
      </c>
      <c r="L24" s="1">
        <v>0.35</v>
      </c>
      <c r="M24" s="1">
        <v>0.09</v>
      </c>
      <c r="N24" s="3">
        <v>3.595791896112436</v>
      </c>
      <c r="O24" s="3">
        <v>26</v>
      </c>
    </row>
    <row r="25" spans="1:15" x14ac:dyDescent="0.25">
      <c r="A25" s="1" t="s">
        <v>305</v>
      </c>
      <c r="B25" s="1" t="s">
        <v>151</v>
      </c>
      <c r="C25" s="1" t="s">
        <v>138</v>
      </c>
      <c r="D25" s="1" t="s">
        <v>31</v>
      </c>
      <c r="E25" s="1">
        <v>3</v>
      </c>
      <c r="F25" s="1" t="s">
        <v>358</v>
      </c>
      <c r="G25" s="4">
        <v>44498</v>
      </c>
      <c r="H25" s="3">
        <v>68</v>
      </c>
      <c r="I25" s="1">
        <v>37</v>
      </c>
      <c r="J25" s="1">
        <v>24</v>
      </c>
      <c r="K25" s="3">
        <v>81</v>
      </c>
      <c r="L25" s="1">
        <v>1.77</v>
      </c>
      <c r="M25" s="1">
        <v>0.52</v>
      </c>
      <c r="N25" s="3">
        <v>5.6291980460004076</v>
      </c>
      <c r="O25" s="3">
        <v>29</v>
      </c>
    </row>
    <row r="26" spans="1:15" x14ac:dyDescent="0.25">
      <c r="A26" s="1" t="s">
        <v>306</v>
      </c>
      <c r="B26" s="1" t="s">
        <v>151</v>
      </c>
      <c r="C26" s="1" t="s">
        <v>138</v>
      </c>
      <c r="D26" s="1" t="s">
        <v>31</v>
      </c>
      <c r="E26" s="1">
        <v>3</v>
      </c>
      <c r="F26" s="1" t="s">
        <v>358</v>
      </c>
      <c r="G26" s="4">
        <v>44498</v>
      </c>
      <c r="H26" s="3">
        <v>69</v>
      </c>
      <c r="I26" s="1">
        <v>35</v>
      </c>
      <c r="J26" s="1">
        <v>26</v>
      </c>
      <c r="K26" s="3">
        <v>84</v>
      </c>
      <c r="L26" s="1">
        <v>1.08</v>
      </c>
      <c r="M26" s="1">
        <v>0.21</v>
      </c>
      <c r="N26" s="3">
        <v>3.2875811621599405</v>
      </c>
      <c r="O26" s="3">
        <v>19</v>
      </c>
    </row>
    <row r="27" spans="1:15" x14ac:dyDescent="0.25">
      <c r="A27" s="1" t="s">
        <v>307</v>
      </c>
      <c r="B27" s="1" t="s">
        <v>151</v>
      </c>
      <c r="C27" s="1" t="s">
        <v>138</v>
      </c>
      <c r="D27" s="1" t="s">
        <v>47</v>
      </c>
      <c r="E27" s="1">
        <v>3</v>
      </c>
      <c r="F27" s="1" t="s">
        <v>359</v>
      </c>
      <c r="G27" s="4">
        <v>44498</v>
      </c>
      <c r="H27" s="3">
        <v>64</v>
      </c>
      <c r="I27" s="1">
        <v>33</v>
      </c>
      <c r="J27" s="1">
        <v>23</v>
      </c>
      <c r="K27" s="3">
        <v>65</v>
      </c>
      <c r="L27" s="1">
        <v>1.22</v>
      </c>
      <c r="M27" s="1">
        <v>0.38</v>
      </c>
      <c r="N27" s="3">
        <v>4.6539306640624991</v>
      </c>
      <c r="O27" s="3">
        <v>31</v>
      </c>
    </row>
    <row r="28" spans="1:15" x14ac:dyDescent="0.25">
      <c r="A28" s="1" t="s">
        <v>308</v>
      </c>
      <c r="B28" s="1" t="s">
        <v>151</v>
      </c>
      <c r="C28" s="1" t="s">
        <v>138</v>
      </c>
      <c r="D28" s="1" t="s">
        <v>47</v>
      </c>
      <c r="E28" s="1">
        <v>3</v>
      </c>
      <c r="F28" s="1" t="s">
        <v>359</v>
      </c>
      <c r="G28" s="4">
        <v>44498</v>
      </c>
      <c r="H28" s="3">
        <v>54</v>
      </c>
      <c r="I28" s="1">
        <v>30</v>
      </c>
      <c r="J28" s="1">
        <v>19</v>
      </c>
      <c r="K28" s="3">
        <v>41</v>
      </c>
      <c r="L28" s="1">
        <v>1.08</v>
      </c>
      <c r="M28" s="1">
        <v>0.35</v>
      </c>
      <c r="N28" s="3">
        <v>6.8587105624142648</v>
      </c>
      <c r="O28" s="3">
        <v>32</v>
      </c>
    </row>
    <row r="29" spans="1:15" x14ac:dyDescent="0.25">
      <c r="A29" s="1" t="s">
        <v>309</v>
      </c>
      <c r="B29" s="1" t="s">
        <v>151</v>
      </c>
      <c r="C29" s="1" t="s">
        <v>138</v>
      </c>
      <c r="D29" s="1" t="s">
        <v>47</v>
      </c>
      <c r="E29" s="1">
        <v>3</v>
      </c>
      <c r="F29" s="1" t="s">
        <v>359</v>
      </c>
      <c r="G29" s="4">
        <v>44498</v>
      </c>
      <c r="H29" s="3">
        <v>51</v>
      </c>
      <c r="I29" s="1">
        <v>26</v>
      </c>
      <c r="J29" s="1">
        <v>18</v>
      </c>
      <c r="K29" s="3">
        <v>32</v>
      </c>
      <c r="L29" s="1">
        <v>0.77</v>
      </c>
      <c r="M29" s="1">
        <v>0.22</v>
      </c>
      <c r="N29" s="3">
        <v>5.8047055808097943</v>
      </c>
      <c r="O29" s="3">
        <v>29</v>
      </c>
    </row>
    <row r="30" spans="1:15" x14ac:dyDescent="0.25">
      <c r="A30" s="1" t="s">
        <v>310</v>
      </c>
      <c r="B30" s="1" t="s">
        <v>151</v>
      </c>
      <c r="C30" s="1" t="s">
        <v>138</v>
      </c>
      <c r="D30" s="1" t="s">
        <v>47</v>
      </c>
      <c r="E30" s="1">
        <v>3</v>
      </c>
      <c r="F30" s="1" t="s">
        <v>359</v>
      </c>
      <c r="G30" s="4">
        <v>44498</v>
      </c>
      <c r="H30" s="3">
        <v>48</v>
      </c>
      <c r="I30" s="1">
        <v>26</v>
      </c>
      <c r="J30" s="1">
        <v>17</v>
      </c>
      <c r="K30" s="3">
        <v>28</v>
      </c>
      <c r="L30" s="1">
        <v>0.59</v>
      </c>
      <c r="M30" s="1">
        <v>0.23</v>
      </c>
      <c r="N30" s="3">
        <v>5.3349247685185182</v>
      </c>
      <c r="O30" s="3">
        <v>39</v>
      </c>
    </row>
    <row r="31" spans="1:15" x14ac:dyDescent="0.25">
      <c r="A31" s="1" t="s">
        <v>311</v>
      </c>
      <c r="B31" s="1" t="s">
        <v>151</v>
      </c>
      <c r="C31" s="1" t="s">
        <v>138</v>
      </c>
      <c r="D31" s="1" t="s">
        <v>47</v>
      </c>
      <c r="E31" s="1">
        <v>3</v>
      </c>
      <c r="F31" s="1" t="s">
        <v>359</v>
      </c>
      <c r="G31" s="4">
        <v>44498</v>
      </c>
      <c r="H31" s="3">
        <v>53</v>
      </c>
      <c r="I31" s="1">
        <v>27</v>
      </c>
      <c r="J31" s="1">
        <v>18</v>
      </c>
      <c r="K31" s="3">
        <v>34</v>
      </c>
      <c r="L31" s="1">
        <v>0.84</v>
      </c>
      <c r="M31" s="1">
        <v>0.27</v>
      </c>
      <c r="N31" s="3">
        <v>5.6422415819770695</v>
      </c>
      <c r="O31" s="3">
        <v>32</v>
      </c>
    </row>
    <row r="32" spans="1:15" x14ac:dyDescent="0.25">
      <c r="A32" s="1" t="s">
        <v>312</v>
      </c>
      <c r="B32" s="1" t="s">
        <v>151</v>
      </c>
      <c r="C32" s="1" t="s">
        <v>138</v>
      </c>
      <c r="D32" s="1" t="s">
        <v>47</v>
      </c>
      <c r="E32" s="1">
        <v>3</v>
      </c>
      <c r="F32" s="1" t="s">
        <v>359</v>
      </c>
      <c r="G32" s="4">
        <v>44498</v>
      </c>
      <c r="H32" s="3">
        <v>59</v>
      </c>
      <c r="I32" s="1">
        <v>30</v>
      </c>
      <c r="J32" s="1">
        <v>21</v>
      </c>
      <c r="K32" s="3">
        <v>50</v>
      </c>
      <c r="L32" s="1">
        <v>1.1599999999999999</v>
      </c>
      <c r="M32" s="1">
        <v>0.37</v>
      </c>
      <c r="N32" s="3">
        <v>5.6480944984638146</v>
      </c>
      <c r="O32" s="3">
        <v>32</v>
      </c>
    </row>
    <row r="33" spans="1:15" x14ac:dyDescent="0.25">
      <c r="A33" s="1" t="s">
        <v>313</v>
      </c>
      <c r="B33" s="1" t="s">
        <v>151</v>
      </c>
      <c r="C33" s="1" t="s">
        <v>138</v>
      </c>
      <c r="D33" s="1" t="s">
        <v>47</v>
      </c>
      <c r="E33" s="1">
        <v>3</v>
      </c>
      <c r="F33" s="1" t="s">
        <v>359</v>
      </c>
      <c r="G33" s="4">
        <v>44498</v>
      </c>
      <c r="H33" s="3">
        <v>54</v>
      </c>
      <c r="I33" s="1">
        <v>30</v>
      </c>
      <c r="J33" s="1">
        <v>18</v>
      </c>
      <c r="K33" s="3">
        <v>39</v>
      </c>
      <c r="L33" s="1">
        <v>0.26</v>
      </c>
      <c r="M33" s="1">
        <v>0.03</v>
      </c>
      <c r="N33" s="3">
        <v>1.6511710613219528</v>
      </c>
      <c r="O33" s="3">
        <v>12</v>
      </c>
    </row>
    <row r="34" spans="1:15" x14ac:dyDescent="0.25">
      <c r="A34" s="1" t="s">
        <v>314</v>
      </c>
      <c r="B34" s="1" t="s">
        <v>151</v>
      </c>
      <c r="C34" s="1" t="s">
        <v>138</v>
      </c>
      <c r="D34" s="1" t="s">
        <v>47</v>
      </c>
      <c r="E34" s="1">
        <v>3</v>
      </c>
      <c r="F34" s="1" t="s">
        <v>359</v>
      </c>
      <c r="G34" s="4">
        <v>44498</v>
      </c>
      <c r="H34" s="3">
        <v>63</v>
      </c>
      <c r="I34" s="1">
        <v>34</v>
      </c>
      <c r="J34" s="1">
        <v>21</v>
      </c>
      <c r="K34" s="3">
        <v>60</v>
      </c>
      <c r="L34" s="1">
        <v>1.62</v>
      </c>
      <c r="M34" s="1">
        <v>0.39</v>
      </c>
      <c r="N34" s="3">
        <v>6.4787819889860723</v>
      </c>
      <c r="O34" s="3">
        <v>24</v>
      </c>
    </row>
    <row r="35" spans="1:15" x14ac:dyDescent="0.25">
      <c r="A35" s="1" t="s">
        <v>315</v>
      </c>
      <c r="B35" s="1" t="s">
        <v>151</v>
      </c>
      <c r="C35" s="1" t="s">
        <v>138</v>
      </c>
      <c r="D35" s="1" t="s">
        <v>47</v>
      </c>
      <c r="E35" s="1">
        <v>3</v>
      </c>
      <c r="F35" s="1" t="s">
        <v>359</v>
      </c>
      <c r="G35" s="4">
        <v>44498</v>
      </c>
      <c r="H35" s="3">
        <v>63</v>
      </c>
      <c r="I35" s="1">
        <v>31</v>
      </c>
      <c r="J35" s="1">
        <v>22</v>
      </c>
      <c r="K35" s="3">
        <v>57</v>
      </c>
      <c r="L35" s="1">
        <v>1.51</v>
      </c>
      <c r="M35" s="1">
        <v>0.47</v>
      </c>
      <c r="N35" s="3">
        <v>6.0388646934376347</v>
      </c>
      <c r="O35" s="3">
        <v>31</v>
      </c>
    </row>
    <row r="36" spans="1:15" x14ac:dyDescent="0.25">
      <c r="A36" s="1" t="s">
        <v>316</v>
      </c>
      <c r="B36" s="1" t="s">
        <v>151</v>
      </c>
      <c r="C36" s="1" t="s">
        <v>138</v>
      </c>
      <c r="D36" s="1" t="s">
        <v>47</v>
      </c>
      <c r="E36" s="1">
        <v>3</v>
      </c>
      <c r="F36" s="1" t="s">
        <v>359</v>
      </c>
      <c r="G36" s="4">
        <v>44498</v>
      </c>
      <c r="H36" s="3">
        <v>68</v>
      </c>
      <c r="I36" s="1">
        <v>37</v>
      </c>
      <c r="J36" s="1">
        <v>26</v>
      </c>
      <c r="K36" s="3">
        <v>87</v>
      </c>
      <c r="L36" s="1">
        <v>2.1800000000000002</v>
      </c>
      <c r="M36" s="1">
        <v>0.81</v>
      </c>
      <c r="N36" s="3">
        <v>6.9331365764298818</v>
      </c>
      <c r="O36" s="3">
        <v>37</v>
      </c>
    </row>
    <row r="37" spans="1:15" x14ac:dyDescent="0.25">
      <c r="A37" s="1" t="s">
        <v>317</v>
      </c>
      <c r="B37" s="1" t="s">
        <v>151</v>
      </c>
      <c r="C37" s="1" t="s">
        <v>138</v>
      </c>
      <c r="D37" s="1" t="s">
        <v>63</v>
      </c>
      <c r="E37" s="1">
        <v>3</v>
      </c>
      <c r="F37" s="1" t="s">
        <v>360</v>
      </c>
      <c r="G37" s="4">
        <v>44498</v>
      </c>
      <c r="H37" s="3">
        <v>66</v>
      </c>
      <c r="I37" s="1">
        <v>36</v>
      </c>
      <c r="J37" s="1">
        <v>22</v>
      </c>
      <c r="K37" s="3">
        <v>70</v>
      </c>
      <c r="L37" s="1">
        <v>1.45</v>
      </c>
      <c r="M37" s="1">
        <v>0.28000000000000003</v>
      </c>
      <c r="N37" s="3">
        <v>5.0435484319781843</v>
      </c>
      <c r="O37" s="3">
        <v>19</v>
      </c>
    </row>
    <row r="38" spans="1:15" x14ac:dyDescent="0.25">
      <c r="A38" s="1" t="s">
        <v>318</v>
      </c>
      <c r="B38" s="1" t="s">
        <v>151</v>
      </c>
      <c r="C38" s="1" t="s">
        <v>138</v>
      </c>
      <c r="D38" s="1" t="s">
        <v>63</v>
      </c>
      <c r="E38" s="1">
        <v>3</v>
      </c>
      <c r="F38" s="1" t="s">
        <v>360</v>
      </c>
      <c r="G38" s="4">
        <v>44498</v>
      </c>
      <c r="H38" s="3">
        <v>58</v>
      </c>
      <c r="I38" s="1">
        <v>32</v>
      </c>
      <c r="J38" s="1">
        <v>22</v>
      </c>
      <c r="K38" s="3">
        <v>54</v>
      </c>
      <c r="L38" s="1">
        <v>0.77</v>
      </c>
      <c r="M38" s="1">
        <v>0.12</v>
      </c>
      <c r="N38" s="3">
        <v>3.9464512690147204</v>
      </c>
      <c r="O38" s="3">
        <v>16</v>
      </c>
    </row>
    <row r="39" spans="1:15" x14ac:dyDescent="0.25">
      <c r="A39" s="1" t="s">
        <v>319</v>
      </c>
      <c r="B39" s="1" t="s">
        <v>151</v>
      </c>
      <c r="C39" s="1" t="s">
        <v>138</v>
      </c>
      <c r="D39" s="1" t="s">
        <v>63</v>
      </c>
      <c r="E39" s="1">
        <v>3</v>
      </c>
      <c r="F39" s="1" t="s">
        <v>360</v>
      </c>
      <c r="G39" s="4">
        <v>44498</v>
      </c>
      <c r="H39" s="3">
        <v>59</v>
      </c>
      <c r="I39" s="1">
        <v>33</v>
      </c>
      <c r="J39" s="1">
        <v>22</v>
      </c>
      <c r="K39" s="3">
        <v>57</v>
      </c>
      <c r="L39" s="1">
        <v>0.92</v>
      </c>
      <c r="M39" s="1">
        <v>0.2</v>
      </c>
      <c r="N39" s="3">
        <v>4.4795232229195774</v>
      </c>
      <c r="O39" s="3">
        <v>22</v>
      </c>
    </row>
    <row r="40" spans="1:15" x14ac:dyDescent="0.25">
      <c r="A40" s="1" t="s">
        <v>320</v>
      </c>
      <c r="B40" s="1" t="s">
        <v>151</v>
      </c>
      <c r="C40" s="1" t="s">
        <v>138</v>
      </c>
      <c r="D40" s="1" t="s">
        <v>63</v>
      </c>
      <c r="E40" s="1">
        <v>3</v>
      </c>
      <c r="F40" s="1" t="s">
        <v>360</v>
      </c>
      <c r="G40" s="4">
        <v>44498</v>
      </c>
      <c r="H40" s="3">
        <v>61</v>
      </c>
      <c r="I40" s="1">
        <v>33</v>
      </c>
      <c r="J40" s="1">
        <v>20</v>
      </c>
      <c r="K40" s="3">
        <v>54</v>
      </c>
      <c r="L40" s="1">
        <v>0.71</v>
      </c>
      <c r="M40" s="1">
        <v>0.16</v>
      </c>
      <c r="N40" s="3">
        <v>3.1280151202082997</v>
      </c>
      <c r="O40" s="3">
        <v>23</v>
      </c>
    </row>
    <row r="41" spans="1:15" x14ac:dyDescent="0.25">
      <c r="A41" s="1" t="s">
        <v>321</v>
      </c>
      <c r="B41" s="1" t="s">
        <v>151</v>
      </c>
      <c r="C41" s="1" t="s">
        <v>138</v>
      </c>
      <c r="D41" s="1" t="s">
        <v>63</v>
      </c>
      <c r="E41" s="1">
        <v>3</v>
      </c>
      <c r="F41" s="1" t="s">
        <v>360</v>
      </c>
      <c r="G41" s="4">
        <v>44498</v>
      </c>
      <c r="H41" s="3">
        <v>65</v>
      </c>
      <c r="I41" s="1">
        <v>32</v>
      </c>
      <c r="J41" s="1">
        <v>25</v>
      </c>
      <c r="K41" s="3">
        <v>69</v>
      </c>
      <c r="L41" s="1">
        <v>1.29</v>
      </c>
      <c r="M41" s="1">
        <v>0.44</v>
      </c>
      <c r="N41" s="3">
        <v>4.6973145197997273</v>
      </c>
      <c r="O41" s="3">
        <v>34</v>
      </c>
    </row>
    <row r="42" spans="1:15" x14ac:dyDescent="0.25">
      <c r="A42" s="1" t="s">
        <v>322</v>
      </c>
      <c r="B42" s="1" t="s">
        <v>151</v>
      </c>
      <c r="C42" s="1" t="s">
        <v>138</v>
      </c>
      <c r="D42" s="1" t="s">
        <v>63</v>
      </c>
      <c r="E42" s="1">
        <v>3</v>
      </c>
      <c r="F42" s="1" t="s">
        <v>360</v>
      </c>
      <c r="G42" s="4">
        <v>44498</v>
      </c>
      <c r="H42" s="3">
        <v>46</v>
      </c>
      <c r="I42" s="1">
        <v>24</v>
      </c>
      <c r="J42" s="1">
        <v>18</v>
      </c>
      <c r="K42" s="3">
        <v>26</v>
      </c>
      <c r="L42" s="1">
        <v>0.55000000000000004</v>
      </c>
      <c r="M42" s="1">
        <v>0.26</v>
      </c>
      <c r="N42" s="3">
        <v>5.6505301224624001</v>
      </c>
      <c r="O42" s="3">
        <v>47</v>
      </c>
    </row>
    <row r="43" spans="1:15" x14ac:dyDescent="0.25">
      <c r="A43" s="1" t="s">
        <v>323</v>
      </c>
      <c r="B43" s="1" t="s">
        <v>151</v>
      </c>
      <c r="C43" s="1" t="s">
        <v>138</v>
      </c>
      <c r="D43" s="1" t="s">
        <v>63</v>
      </c>
      <c r="E43" s="1">
        <v>3</v>
      </c>
      <c r="F43" s="1" t="s">
        <v>360</v>
      </c>
      <c r="G43" s="4">
        <v>44498</v>
      </c>
      <c r="H43" s="3">
        <v>64</v>
      </c>
      <c r="I43" s="1">
        <v>36</v>
      </c>
      <c r="J43" s="1">
        <v>23</v>
      </c>
      <c r="K43" s="3">
        <v>71</v>
      </c>
      <c r="L43" s="1">
        <v>1.3800000000000001</v>
      </c>
      <c r="M43" s="1">
        <v>0.4</v>
      </c>
      <c r="N43" s="3">
        <v>5.2642822265624991</v>
      </c>
      <c r="O43" s="3">
        <v>29</v>
      </c>
    </row>
    <row r="44" spans="1:15" x14ac:dyDescent="0.25">
      <c r="A44" s="1" t="s">
        <v>324</v>
      </c>
      <c r="B44" s="1" t="s">
        <v>151</v>
      </c>
      <c r="C44" s="1" t="s">
        <v>138</v>
      </c>
      <c r="D44" s="1" t="s">
        <v>63</v>
      </c>
      <c r="E44" s="1">
        <v>3</v>
      </c>
      <c r="F44" s="1" t="s">
        <v>360</v>
      </c>
      <c r="G44" s="4">
        <v>44498</v>
      </c>
      <c r="H44" s="3">
        <v>47</v>
      </c>
      <c r="I44" s="1">
        <v>26</v>
      </c>
      <c r="J44" s="1">
        <v>16</v>
      </c>
      <c r="K44" s="3">
        <v>26</v>
      </c>
      <c r="L44" s="1">
        <v>0.32999999999999996</v>
      </c>
      <c r="M44" s="1">
        <v>0.1</v>
      </c>
      <c r="N44" s="3">
        <v>3.1784864625372018</v>
      </c>
      <c r="O44" s="3">
        <v>30</v>
      </c>
    </row>
    <row r="45" spans="1:15" x14ac:dyDescent="0.25">
      <c r="A45" s="1" t="s">
        <v>325</v>
      </c>
      <c r="B45" s="1" t="s">
        <v>151</v>
      </c>
      <c r="C45" s="1" t="s">
        <v>138</v>
      </c>
      <c r="D45" s="1" t="s">
        <v>63</v>
      </c>
      <c r="E45" s="1">
        <v>3</v>
      </c>
      <c r="F45" s="1" t="s">
        <v>360</v>
      </c>
      <c r="G45" s="4">
        <v>44498</v>
      </c>
      <c r="H45" s="3">
        <v>69</v>
      </c>
      <c r="I45" s="1">
        <v>39</v>
      </c>
      <c r="J45" s="1">
        <v>23</v>
      </c>
      <c r="K45" s="3">
        <v>83</v>
      </c>
      <c r="L45" s="1">
        <v>2.6</v>
      </c>
      <c r="M45" s="1">
        <v>0.93</v>
      </c>
      <c r="N45" s="3">
        <v>7.9145472422368925</v>
      </c>
      <c r="O45" s="3">
        <v>36</v>
      </c>
    </row>
    <row r="46" spans="1:15" x14ac:dyDescent="0.25">
      <c r="A46" s="1" t="s">
        <v>326</v>
      </c>
      <c r="B46" s="1" t="s">
        <v>151</v>
      </c>
      <c r="C46" s="1" t="s">
        <v>138</v>
      </c>
      <c r="D46" s="1" t="s">
        <v>63</v>
      </c>
      <c r="E46" s="1">
        <v>3</v>
      </c>
      <c r="F46" s="1" t="s">
        <v>360</v>
      </c>
      <c r="G46" s="4">
        <v>44498</v>
      </c>
      <c r="H46" s="3">
        <v>69</v>
      </c>
      <c r="I46" s="1">
        <v>34</v>
      </c>
      <c r="J46" s="1">
        <v>23</v>
      </c>
      <c r="K46" s="3">
        <v>72</v>
      </c>
      <c r="L46" s="1">
        <v>2.08</v>
      </c>
      <c r="M46" s="1">
        <v>0.48</v>
      </c>
      <c r="N46" s="3">
        <v>6.3316377937895147</v>
      </c>
      <c r="O46" s="3">
        <v>23</v>
      </c>
    </row>
    <row r="47" spans="1:15" x14ac:dyDescent="0.25">
      <c r="A47" s="1" t="s">
        <v>264</v>
      </c>
      <c r="B47" s="1" t="s">
        <v>151</v>
      </c>
      <c r="C47" s="1" t="s">
        <v>138</v>
      </c>
      <c r="D47" s="1" t="s">
        <v>279</v>
      </c>
      <c r="E47" s="1">
        <v>3</v>
      </c>
      <c r="F47" s="1" t="s">
        <v>361</v>
      </c>
      <c r="G47" s="4">
        <v>44498</v>
      </c>
      <c r="H47" s="3">
        <v>56</v>
      </c>
      <c r="I47" s="1">
        <v>31</v>
      </c>
      <c r="J47" s="1">
        <v>21</v>
      </c>
      <c r="K47" s="3">
        <v>49</v>
      </c>
      <c r="L47" s="1">
        <v>0.75</v>
      </c>
      <c r="M47" s="1">
        <v>0.28999999999999998</v>
      </c>
      <c r="N47" s="3">
        <v>4.2706814868804672</v>
      </c>
      <c r="O47" s="3">
        <v>39</v>
      </c>
    </row>
    <row r="48" spans="1:15" x14ac:dyDescent="0.25">
      <c r="A48" s="1" t="s">
        <v>265</v>
      </c>
      <c r="B48" s="1" t="s">
        <v>151</v>
      </c>
      <c r="C48" s="1" t="s">
        <v>138</v>
      </c>
      <c r="D48" s="1" t="s">
        <v>279</v>
      </c>
      <c r="E48" s="1">
        <v>3</v>
      </c>
      <c r="F48" s="1" t="s">
        <v>361</v>
      </c>
      <c r="G48" s="4">
        <v>44498</v>
      </c>
      <c r="H48" s="3">
        <v>61</v>
      </c>
      <c r="I48" s="1">
        <v>34</v>
      </c>
      <c r="J48" s="1">
        <v>24</v>
      </c>
      <c r="K48" s="3">
        <v>66</v>
      </c>
      <c r="L48" s="1">
        <v>1.33</v>
      </c>
      <c r="M48" s="1">
        <v>0.38</v>
      </c>
      <c r="N48" s="3">
        <v>5.8595212815169564</v>
      </c>
      <c r="O48" s="3">
        <v>29</v>
      </c>
    </row>
    <row r="49" spans="1:15" x14ac:dyDescent="0.25">
      <c r="A49" s="1" t="s">
        <v>266</v>
      </c>
      <c r="B49" s="1" t="s">
        <v>151</v>
      </c>
      <c r="C49" s="1" t="s">
        <v>138</v>
      </c>
      <c r="D49" s="1" t="s">
        <v>279</v>
      </c>
      <c r="E49" s="1">
        <v>3</v>
      </c>
      <c r="F49" s="1" t="s">
        <v>361</v>
      </c>
      <c r="G49" s="4">
        <v>44498</v>
      </c>
      <c r="H49" s="3">
        <v>62</v>
      </c>
      <c r="I49" s="1">
        <v>39</v>
      </c>
      <c r="J49" s="1">
        <v>16</v>
      </c>
      <c r="K49" s="3">
        <v>52</v>
      </c>
      <c r="L49" s="1">
        <v>0.92</v>
      </c>
      <c r="M49" s="1">
        <v>0.32</v>
      </c>
      <c r="N49" s="3">
        <v>3.8602262428250138</v>
      </c>
      <c r="O49" s="3">
        <v>35</v>
      </c>
    </row>
    <row r="50" spans="1:15" x14ac:dyDescent="0.25">
      <c r="A50" s="1" t="s">
        <v>267</v>
      </c>
      <c r="B50" s="1" t="s">
        <v>151</v>
      </c>
      <c r="C50" s="1" t="s">
        <v>138</v>
      </c>
      <c r="D50" s="1" t="s">
        <v>279</v>
      </c>
      <c r="E50" s="1">
        <v>3</v>
      </c>
      <c r="F50" s="1" t="s">
        <v>361</v>
      </c>
      <c r="G50" s="4">
        <v>44498</v>
      </c>
      <c r="H50" s="3">
        <v>67</v>
      </c>
      <c r="I50" s="1">
        <v>36</v>
      </c>
      <c r="J50" s="1">
        <v>32</v>
      </c>
      <c r="K50" s="3">
        <v>103</v>
      </c>
      <c r="L50" s="1">
        <v>0.75</v>
      </c>
      <c r="M50" s="1">
        <v>0.15</v>
      </c>
      <c r="N50" s="3">
        <v>2.4936577970029554</v>
      </c>
      <c r="O50" s="3">
        <v>20</v>
      </c>
    </row>
    <row r="51" spans="1:15" x14ac:dyDescent="0.25">
      <c r="A51" s="1" t="s">
        <v>268</v>
      </c>
      <c r="B51" s="1" t="s">
        <v>151</v>
      </c>
      <c r="C51" s="1" t="s">
        <v>138</v>
      </c>
      <c r="D51" s="1" t="s">
        <v>279</v>
      </c>
      <c r="E51" s="1">
        <v>3</v>
      </c>
      <c r="F51" s="1" t="s">
        <v>361</v>
      </c>
      <c r="G51" s="4">
        <v>44498</v>
      </c>
      <c r="H51" s="3">
        <v>55</v>
      </c>
      <c r="I51" s="1">
        <v>25</v>
      </c>
      <c r="J51" s="1">
        <v>23</v>
      </c>
      <c r="K51" s="3">
        <v>42</v>
      </c>
      <c r="L51" s="1">
        <v>1.05</v>
      </c>
      <c r="M51" s="1">
        <v>0.32</v>
      </c>
      <c r="N51" s="3">
        <v>6.3110443275732528</v>
      </c>
      <c r="O51" s="3">
        <v>30</v>
      </c>
    </row>
    <row r="52" spans="1:15" x14ac:dyDescent="0.25">
      <c r="A52" s="1" t="s">
        <v>269</v>
      </c>
      <c r="B52" s="1" t="s">
        <v>151</v>
      </c>
      <c r="C52" s="1" t="s">
        <v>138</v>
      </c>
      <c r="D52" s="1" t="s">
        <v>279</v>
      </c>
      <c r="E52" s="1">
        <v>3</v>
      </c>
      <c r="F52" s="1" t="s">
        <v>361</v>
      </c>
      <c r="G52" s="4">
        <v>44498</v>
      </c>
      <c r="H52" s="3">
        <v>56</v>
      </c>
      <c r="I52" s="1">
        <v>33</v>
      </c>
      <c r="J52" s="1">
        <v>17</v>
      </c>
      <c r="K52" s="3">
        <v>42</v>
      </c>
      <c r="L52" s="1">
        <v>0.4</v>
      </c>
      <c r="M52" s="1">
        <v>0.11</v>
      </c>
      <c r="N52" s="3">
        <v>2.2776967930029159</v>
      </c>
      <c r="O52" s="3">
        <v>28</v>
      </c>
    </row>
    <row r="53" spans="1:15" x14ac:dyDescent="0.25">
      <c r="A53" s="1" t="s">
        <v>270</v>
      </c>
      <c r="B53" s="1" t="s">
        <v>151</v>
      </c>
      <c r="C53" s="1" t="s">
        <v>138</v>
      </c>
      <c r="D53" s="1" t="s">
        <v>279</v>
      </c>
      <c r="E53" s="1">
        <v>3</v>
      </c>
      <c r="F53" s="1" t="s">
        <v>361</v>
      </c>
      <c r="G53" s="4">
        <v>44498</v>
      </c>
      <c r="H53" s="3">
        <v>58</v>
      </c>
      <c r="I53" s="1">
        <v>30</v>
      </c>
      <c r="J53" s="1">
        <v>18</v>
      </c>
      <c r="K53" s="3">
        <v>42</v>
      </c>
      <c r="L53" s="1">
        <v>0.56000000000000005</v>
      </c>
      <c r="M53" s="1">
        <v>0.1</v>
      </c>
      <c r="N53" s="3">
        <v>2.8701463774652511</v>
      </c>
      <c r="O53" s="3">
        <v>18</v>
      </c>
    </row>
    <row r="54" spans="1:15" x14ac:dyDescent="0.25">
      <c r="A54" s="1" t="s">
        <v>271</v>
      </c>
      <c r="B54" s="1" t="s">
        <v>151</v>
      </c>
      <c r="C54" s="1" t="s">
        <v>138</v>
      </c>
      <c r="D54" s="1" t="s">
        <v>279</v>
      </c>
      <c r="E54" s="1">
        <v>3</v>
      </c>
      <c r="F54" s="1" t="s">
        <v>361</v>
      </c>
      <c r="G54" s="4">
        <v>44498</v>
      </c>
      <c r="H54" s="3">
        <v>62</v>
      </c>
      <c r="I54" s="1">
        <v>40</v>
      </c>
      <c r="J54" s="1">
        <v>21</v>
      </c>
      <c r="K54" s="3">
        <v>69</v>
      </c>
      <c r="L54" s="1">
        <v>1.67</v>
      </c>
      <c r="M54" s="1">
        <v>0.36</v>
      </c>
      <c r="N54" s="3">
        <v>7.0071498103454051</v>
      </c>
      <c r="O54" s="3">
        <v>22</v>
      </c>
    </row>
    <row r="55" spans="1:15" x14ac:dyDescent="0.25">
      <c r="A55" s="1" t="s">
        <v>272</v>
      </c>
      <c r="B55" s="1" t="s">
        <v>151</v>
      </c>
      <c r="C55" s="1" t="s">
        <v>138</v>
      </c>
      <c r="D55" s="1" t="s">
        <v>279</v>
      </c>
      <c r="E55" s="1">
        <v>3</v>
      </c>
      <c r="F55" s="1" t="s">
        <v>361</v>
      </c>
      <c r="G55" s="4">
        <v>44498</v>
      </c>
      <c r="H55" s="3">
        <v>64</v>
      </c>
      <c r="I55" s="1">
        <v>28</v>
      </c>
      <c r="J55" s="1">
        <v>27</v>
      </c>
      <c r="K55" s="3">
        <v>65</v>
      </c>
      <c r="L55" s="1">
        <v>0.5</v>
      </c>
      <c r="M55" s="1">
        <v>0.14000000000000001</v>
      </c>
      <c r="N55" s="3">
        <v>1.9073486328124996</v>
      </c>
      <c r="O55" s="3">
        <v>28</v>
      </c>
    </row>
    <row r="56" spans="1:15" x14ac:dyDescent="0.25">
      <c r="A56" s="1" t="s">
        <v>273</v>
      </c>
      <c r="B56" s="1" t="s">
        <v>151</v>
      </c>
      <c r="C56" s="1" t="s">
        <v>138</v>
      </c>
      <c r="D56" s="1" t="s">
        <v>279</v>
      </c>
      <c r="E56" s="1">
        <v>3</v>
      </c>
      <c r="F56" s="1" t="s">
        <v>361</v>
      </c>
      <c r="G56" s="4">
        <v>44498</v>
      </c>
      <c r="H56" s="3">
        <v>66</v>
      </c>
      <c r="I56" s="1">
        <v>31</v>
      </c>
      <c r="J56" s="1">
        <v>21</v>
      </c>
      <c r="K56" s="3">
        <v>57</v>
      </c>
      <c r="L56" s="1">
        <v>1.67</v>
      </c>
      <c r="M56" s="1">
        <v>0.54</v>
      </c>
      <c r="N56" s="3">
        <v>5.8087764699334947</v>
      </c>
      <c r="O56" s="3">
        <v>32</v>
      </c>
    </row>
    <row r="57" spans="1:15" x14ac:dyDescent="0.25">
      <c r="A57" s="1" t="s">
        <v>274</v>
      </c>
      <c r="B57" s="1" t="s">
        <v>151</v>
      </c>
      <c r="C57" s="1" t="s">
        <v>138</v>
      </c>
      <c r="D57" s="1" t="s">
        <v>279</v>
      </c>
      <c r="E57" s="1">
        <v>3</v>
      </c>
      <c r="F57" s="1" t="s">
        <v>361</v>
      </c>
      <c r="G57" s="4">
        <v>44498</v>
      </c>
      <c r="H57" s="3">
        <v>67</v>
      </c>
      <c r="I57" s="1">
        <v>35</v>
      </c>
      <c r="J57" s="1">
        <v>27</v>
      </c>
      <c r="K57" s="3">
        <v>84</v>
      </c>
      <c r="L57" s="1">
        <v>0.56999999999999995</v>
      </c>
      <c r="M57" s="1">
        <v>0.2</v>
      </c>
      <c r="N57" s="3">
        <v>1.8951799257222461</v>
      </c>
      <c r="O57" s="3">
        <v>35</v>
      </c>
    </row>
    <row r="58" spans="1:15" x14ac:dyDescent="0.25">
      <c r="A58" s="1" t="s">
        <v>275</v>
      </c>
      <c r="B58" s="1" t="s">
        <v>151</v>
      </c>
      <c r="C58" s="1" t="s">
        <v>138</v>
      </c>
      <c r="D58" s="1" t="s">
        <v>279</v>
      </c>
      <c r="E58" s="1">
        <v>3</v>
      </c>
      <c r="F58" s="1" t="s">
        <v>361</v>
      </c>
      <c r="G58" s="4">
        <v>44498</v>
      </c>
      <c r="H58" s="3">
        <v>55</v>
      </c>
      <c r="I58" s="1">
        <v>32</v>
      </c>
      <c r="J58" s="1">
        <v>18</v>
      </c>
      <c r="K58" s="3">
        <v>42</v>
      </c>
      <c r="L58" s="1">
        <v>1.47</v>
      </c>
      <c r="M58" s="1">
        <v>0.3</v>
      </c>
      <c r="N58" s="3">
        <v>8.8354620586025536</v>
      </c>
      <c r="O58" s="3">
        <v>20</v>
      </c>
    </row>
    <row r="59" spans="1:15" x14ac:dyDescent="0.25">
      <c r="A59" s="1" t="s">
        <v>276</v>
      </c>
      <c r="B59" s="1" t="s">
        <v>151</v>
      </c>
      <c r="C59" s="1" t="s">
        <v>138</v>
      </c>
      <c r="D59" s="1" t="s">
        <v>279</v>
      </c>
      <c r="E59" s="1">
        <v>3</v>
      </c>
      <c r="F59" s="1" t="s">
        <v>361</v>
      </c>
      <c r="G59" s="4">
        <v>44498</v>
      </c>
      <c r="H59" s="3">
        <v>52</v>
      </c>
      <c r="I59" s="1">
        <v>33</v>
      </c>
      <c r="J59" s="1">
        <v>18</v>
      </c>
      <c r="K59" s="3">
        <v>41</v>
      </c>
      <c r="L59" s="1">
        <v>0.79</v>
      </c>
      <c r="M59" s="1">
        <v>0.14000000000000001</v>
      </c>
      <c r="N59" s="3">
        <v>5.6184569868001804</v>
      </c>
      <c r="O59" s="3">
        <v>18</v>
      </c>
    </row>
    <row r="60" spans="1:15" x14ac:dyDescent="0.25">
      <c r="A60" s="1" t="s">
        <v>277</v>
      </c>
      <c r="B60" s="1" t="s">
        <v>151</v>
      </c>
      <c r="C60" s="1" t="s">
        <v>138</v>
      </c>
      <c r="D60" s="1" t="s">
        <v>279</v>
      </c>
      <c r="E60" s="1">
        <v>3</v>
      </c>
      <c r="F60" s="1" t="s">
        <v>361</v>
      </c>
      <c r="G60" s="4">
        <v>44498</v>
      </c>
      <c r="H60" s="3">
        <v>58</v>
      </c>
      <c r="I60" s="1">
        <v>33</v>
      </c>
      <c r="J60" s="1">
        <v>17</v>
      </c>
      <c r="K60" s="3">
        <v>43</v>
      </c>
      <c r="L60" s="1">
        <v>1.03</v>
      </c>
      <c r="M60" s="1">
        <v>0.23</v>
      </c>
      <c r="N60" s="3">
        <v>5.2790192299807295</v>
      </c>
      <c r="O60" s="3">
        <v>22</v>
      </c>
    </row>
    <row r="61" spans="1:15" x14ac:dyDescent="0.25">
      <c r="A61" s="1" t="s">
        <v>278</v>
      </c>
      <c r="B61" s="1" t="s">
        <v>151</v>
      </c>
      <c r="C61" s="1" t="s">
        <v>138</v>
      </c>
      <c r="D61" s="1" t="s">
        <v>279</v>
      </c>
      <c r="E61" s="1">
        <v>3</v>
      </c>
      <c r="F61" s="1" t="s">
        <v>361</v>
      </c>
      <c r="G61" s="4">
        <v>44498</v>
      </c>
      <c r="H61" s="3">
        <v>54</v>
      </c>
      <c r="I61" s="1">
        <v>30</v>
      </c>
      <c r="J61" s="1">
        <v>17</v>
      </c>
      <c r="K61" s="3">
        <v>37</v>
      </c>
      <c r="L61" s="1">
        <v>0.52</v>
      </c>
      <c r="M61" s="1">
        <v>0.14000000000000001</v>
      </c>
      <c r="N61" s="3">
        <v>3.3023421226439056</v>
      </c>
      <c r="O61" s="3">
        <v>27</v>
      </c>
    </row>
    <row r="62" spans="1:15" x14ac:dyDescent="0.25">
      <c r="A62" s="1" t="s">
        <v>153</v>
      </c>
      <c r="B62" s="1" t="s">
        <v>152</v>
      </c>
      <c r="C62" s="1" t="s">
        <v>138</v>
      </c>
      <c r="D62" s="1" t="s">
        <v>101</v>
      </c>
      <c r="E62" s="1">
        <v>0</v>
      </c>
      <c r="F62" s="1" t="s">
        <v>362</v>
      </c>
      <c r="G62" s="2">
        <v>44491</v>
      </c>
      <c r="H62" s="1">
        <v>69</v>
      </c>
      <c r="I62" s="1">
        <v>29</v>
      </c>
      <c r="J62" s="1">
        <v>25</v>
      </c>
      <c r="K62" s="3">
        <v>67</v>
      </c>
      <c r="L62" s="1">
        <v>3.1</v>
      </c>
      <c r="M62" s="1">
        <v>0.99000000000000021</v>
      </c>
      <c r="N62" s="3">
        <v>9.4365755580516808</v>
      </c>
      <c r="O62" s="3">
        <v>32</v>
      </c>
    </row>
    <row r="63" spans="1:15" x14ac:dyDescent="0.25">
      <c r="A63" s="1" t="s">
        <v>154</v>
      </c>
      <c r="B63" s="1" t="s">
        <v>152</v>
      </c>
      <c r="C63" s="1" t="s">
        <v>138</v>
      </c>
      <c r="D63" s="1" t="s">
        <v>101</v>
      </c>
      <c r="E63" s="1">
        <v>0</v>
      </c>
      <c r="F63" s="1" t="s">
        <v>362</v>
      </c>
      <c r="G63" s="2">
        <v>44491</v>
      </c>
      <c r="H63" s="1">
        <v>63</v>
      </c>
      <c r="I63" s="1">
        <v>27</v>
      </c>
      <c r="J63" s="1">
        <v>20</v>
      </c>
      <c r="K63" s="3">
        <v>45</v>
      </c>
      <c r="L63" s="1">
        <v>1.7</v>
      </c>
      <c r="M63" s="1">
        <v>0.44999999999999996</v>
      </c>
      <c r="N63" s="3">
        <v>6.798721840294025</v>
      </c>
      <c r="O63" s="3">
        <v>26</v>
      </c>
    </row>
    <row r="64" spans="1:15" x14ac:dyDescent="0.25">
      <c r="A64" s="1" t="s">
        <v>155</v>
      </c>
      <c r="B64" s="1" t="s">
        <v>152</v>
      </c>
      <c r="C64" s="1" t="s">
        <v>138</v>
      </c>
      <c r="D64" s="1" t="s">
        <v>101</v>
      </c>
      <c r="E64" s="1">
        <v>0</v>
      </c>
      <c r="F64" s="1" t="s">
        <v>362</v>
      </c>
      <c r="G64" s="2">
        <v>44491</v>
      </c>
      <c r="H64" s="1">
        <v>58</v>
      </c>
      <c r="I64" s="1">
        <v>26</v>
      </c>
      <c r="J64" s="1">
        <v>20</v>
      </c>
      <c r="K64" s="3">
        <v>40</v>
      </c>
      <c r="L64" s="1">
        <v>1.81</v>
      </c>
      <c r="M64" s="1">
        <v>0.58000000000000007</v>
      </c>
      <c r="N64" s="3">
        <v>9.2767231128787575</v>
      </c>
      <c r="O64" s="3">
        <v>32</v>
      </c>
    </row>
    <row r="65" spans="1:15" x14ac:dyDescent="0.25">
      <c r="A65" s="1" t="s">
        <v>156</v>
      </c>
      <c r="B65" s="1" t="s">
        <v>152</v>
      </c>
      <c r="C65" s="1" t="s">
        <v>138</v>
      </c>
      <c r="D65" s="1" t="s">
        <v>101</v>
      </c>
      <c r="E65" s="1">
        <v>0</v>
      </c>
      <c r="F65" s="1" t="s">
        <v>362</v>
      </c>
      <c r="G65" s="2">
        <v>44491</v>
      </c>
      <c r="H65" s="1">
        <v>66</v>
      </c>
      <c r="I65" s="1">
        <v>29</v>
      </c>
      <c r="J65" s="1">
        <v>22</v>
      </c>
      <c r="K65" s="3">
        <v>56</v>
      </c>
      <c r="L65" s="1">
        <v>2.65</v>
      </c>
      <c r="M65" s="1">
        <v>0.72</v>
      </c>
      <c r="N65" s="3">
        <v>9.2175195480980605</v>
      </c>
      <c r="O65" s="3">
        <v>27</v>
      </c>
    </row>
    <row r="66" spans="1:15" x14ac:dyDescent="0.25">
      <c r="A66" s="1" t="s">
        <v>157</v>
      </c>
      <c r="B66" s="1" t="s">
        <v>152</v>
      </c>
      <c r="C66" s="1" t="s">
        <v>138</v>
      </c>
      <c r="D66" s="1" t="s">
        <v>101</v>
      </c>
      <c r="E66" s="1">
        <v>0</v>
      </c>
      <c r="F66" s="1" t="s">
        <v>362</v>
      </c>
      <c r="G66" s="2">
        <v>44491</v>
      </c>
      <c r="H66" s="1">
        <v>57</v>
      </c>
      <c r="I66" s="1">
        <v>27</v>
      </c>
      <c r="J66" s="1">
        <v>18</v>
      </c>
      <c r="K66" s="3">
        <v>37</v>
      </c>
      <c r="L66" s="1">
        <v>1.7</v>
      </c>
      <c r="M66" s="1">
        <v>0.49</v>
      </c>
      <c r="N66" s="3">
        <v>9.179612620347422</v>
      </c>
      <c r="O66" s="3">
        <v>29</v>
      </c>
    </row>
    <row r="67" spans="1:15" x14ac:dyDescent="0.25">
      <c r="A67" s="1" t="s">
        <v>158</v>
      </c>
      <c r="B67" s="1" t="s">
        <v>152</v>
      </c>
      <c r="C67" s="1" t="s">
        <v>138</v>
      </c>
      <c r="D67" s="1" t="s">
        <v>101</v>
      </c>
      <c r="E67" s="1">
        <v>0</v>
      </c>
      <c r="F67" s="1" t="s">
        <v>362</v>
      </c>
      <c r="G67" s="2">
        <v>44491</v>
      </c>
      <c r="H67" s="1">
        <v>62</v>
      </c>
      <c r="I67" s="1">
        <v>28</v>
      </c>
      <c r="J67" s="1">
        <v>23</v>
      </c>
      <c r="K67" s="3">
        <v>53</v>
      </c>
      <c r="L67" s="1">
        <v>1.52</v>
      </c>
      <c r="M67" s="1">
        <v>0.43999999999999995</v>
      </c>
      <c r="N67" s="3">
        <v>6.3777650968413271</v>
      </c>
      <c r="O67" s="3">
        <v>29</v>
      </c>
    </row>
    <row r="68" spans="1:15" x14ac:dyDescent="0.25">
      <c r="A68" s="1" t="s">
        <v>159</v>
      </c>
      <c r="B68" s="1" t="s">
        <v>152</v>
      </c>
      <c r="C68" s="1" t="s">
        <v>138</v>
      </c>
      <c r="D68" s="1" t="s">
        <v>101</v>
      </c>
      <c r="E68" s="1">
        <v>0</v>
      </c>
      <c r="F68" s="1" t="s">
        <v>362</v>
      </c>
      <c r="G68" s="2">
        <v>44491</v>
      </c>
      <c r="H68" s="1">
        <v>60</v>
      </c>
      <c r="I68" s="1">
        <v>28</v>
      </c>
      <c r="J68" s="1">
        <v>20</v>
      </c>
      <c r="K68" s="3">
        <v>45</v>
      </c>
      <c r="L68" s="1">
        <v>2.0299999999999998</v>
      </c>
      <c r="M68" s="1">
        <v>0.6399999999999999</v>
      </c>
      <c r="N68" s="3">
        <v>9.398148148148147</v>
      </c>
      <c r="O68" s="3">
        <v>32</v>
      </c>
    </row>
    <row r="69" spans="1:15" x14ac:dyDescent="0.25">
      <c r="A69" s="1" t="s">
        <v>160</v>
      </c>
      <c r="B69" s="1" t="s">
        <v>152</v>
      </c>
      <c r="C69" s="1" t="s">
        <v>138</v>
      </c>
      <c r="D69" s="1" t="s">
        <v>101</v>
      </c>
      <c r="E69" s="1">
        <v>0</v>
      </c>
      <c r="F69" s="1" t="s">
        <v>362</v>
      </c>
      <c r="G69" s="2">
        <v>44491</v>
      </c>
      <c r="H69" s="1">
        <v>61</v>
      </c>
      <c r="I69" s="1">
        <v>28</v>
      </c>
      <c r="J69" s="1">
        <v>21</v>
      </c>
      <c r="K69" s="3">
        <v>48</v>
      </c>
      <c r="L69" s="1">
        <v>1.92</v>
      </c>
      <c r="M69" s="1">
        <v>0.54</v>
      </c>
      <c r="N69" s="3">
        <v>8.4588577898590653</v>
      </c>
      <c r="O69" s="3">
        <v>28</v>
      </c>
    </row>
    <row r="70" spans="1:15" x14ac:dyDescent="0.25">
      <c r="A70" s="1" t="s">
        <v>161</v>
      </c>
      <c r="B70" s="1" t="s">
        <v>152</v>
      </c>
      <c r="C70" s="1" t="s">
        <v>138</v>
      </c>
      <c r="D70" s="1" t="s">
        <v>101</v>
      </c>
      <c r="E70" s="1">
        <v>0</v>
      </c>
      <c r="F70" s="1" t="s">
        <v>362</v>
      </c>
      <c r="G70" s="2">
        <v>44491</v>
      </c>
      <c r="H70" s="1">
        <v>56</v>
      </c>
      <c r="I70" s="1">
        <v>28</v>
      </c>
      <c r="J70" s="1">
        <v>17</v>
      </c>
      <c r="K70" s="3">
        <v>36</v>
      </c>
      <c r="L70" s="1">
        <v>1.4</v>
      </c>
      <c r="M70" s="1">
        <v>0.49999999999999989</v>
      </c>
      <c r="N70" s="3">
        <v>7.971938775510206</v>
      </c>
      <c r="O70" s="3">
        <v>36</v>
      </c>
    </row>
    <row r="71" spans="1:15" x14ac:dyDescent="0.25">
      <c r="A71" s="1" t="s">
        <v>162</v>
      </c>
      <c r="B71" s="1" t="s">
        <v>152</v>
      </c>
      <c r="C71" s="1" t="s">
        <v>138</v>
      </c>
      <c r="D71" s="1" t="s">
        <v>101</v>
      </c>
      <c r="E71" s="1">
        <v>0</v>
      </c>
      <c r="F71" s="1" t="s">
        <v>362</v>
      </c>
      <c r="G71" s="2">
        <v>44491</v>
      </c>
      <c r="H71" s="1">
        <v>62</v>
      </c>
      <c r="I71" s="1">
        <v>28</v>
      </c>
      <c r="J71" s="1">
        <v>20</v>
      </c>
      <c r="K71" s="3">
        <v>46</v>
      </c>
      <c r="L71" s="1">
        <v>1.78</v>
      </c>
      <c r="M71" s="1">
        <v>0.56000000000000005</v>
      </c>
      <c r="N71" s="3">
        <v>7.4686986002483966</v>
      </c>
      <c r="O71" s="3">
        <v>31</v>
      </c>
    </row>
    <row r="72" spans="1:15" x14ac:dyDescent="0.25">
      <c r="A72" s="1" t="s">
        <v>168</v>
      </c>
      <c r="B72" s="1" t="s">
        <v>152</v>
      </c>
      <c r="C72" s="1" t="s">
        <v>138</v>
      </c>
      <c r="D72" s="1" t="s">
        <v>101</v>
      </c>
      <c r="E72" s="1">
        <v>0</v>
      </c>
      <c r="F72" s="1" t="s">
        <v>362</v>
      </c>
      <c r="G72" s="2">
        <v>44491</v>
      </c>
      <c r="H72" s="3">
        <v>45</v>
      </c>
      <c r="I72" s="3">
        <v>20</v>
      </c>
      <c r="J72" s="3">
        <v>15</v>
      </c>
      <c r="K72" s="3">
        <v>18</v>
      </c>
      <c r="L72" s="1">
        <v>0.52</v>
      </c>
      <c r="M72" s="1">
        <v>0.12</v>
      </c>
      <c r="N72" s="3">
        <v>5.7064471879286698</v>
      </c>
      <c r="O72" s="3">
        <v>23</v>
      </c>
    </row>
    <row r="73" spans="1:15" x14ac:dyDescent="0.25">
      <c r="A73" s="1" t="s">
        <v>169</v>
      </c>
      <c r="B73" s="1" t="s">
        <v>152</v>
      </c>
      <c r="C73" s="1" t="s">
        <v>138</v>
      </c>
      <c r="D73" s="1" t="s">
        <v>101</v>
      </c>
      <c r="E73" s="1">
        <v>0</v>
      </c>
      <c r="F73" s="1" t="s">
        <v>362</v>
      </c>
      <c r="G73" s="2">
        <v>44491</v>
      </c>
      <c r="H73" s="3">
        <v>52</v>
      </c>
      <c r="I73" s="3">
        <v>21</v>
      </c>
      <c r="J73" s="3">
        <v>17</v>
      </c>
      <c r="K73" s="3">
        <v>25</v>
      </c>
      <c r="L73" s="1">
        <v>1.1299999999999999</v>
      </c>
      <c r="M73" s="1">
        <v>0.26</v>
      </c>
      <c r="N73" s="3">
        <v>8.0365270823850672</v>
      </c>
      <c r="O73" s="3">
        <v>23</v>
      </c>
    </row>
    <row r="74" spans="1:15" x14ac:dyDescent="0.25">
      <c r="A74" s="1" t="s">
        <v>170</v>
      </c>
      <c r="B74" s="1" t="s">
        <v>152</v>
      </c>
      <c r="C74" s="1" t="s">
        <v>138</v>
      </c>
      <c r="D74" s="1" t="s">
        <v>101</v>
      </c>
      <c r="E74" s="1">
        <v>0</v>
      </c>
      <c r="F74" s="1" t="s">
        <v>362</v>
      </c>
      <c r="G74" s="2">
        <v>44491</v>
      </c>
      <c r="H74" s="3">
        <v>48</v>
      </c>
      <c r="I74" s="3">
        <v>21</v>
      </c>
      <c r="J74" s="3">
        <v>16</v>
      </c>
      <c r="K74" s="3">
        <v>22</v>
      </c>
      <c r="L74" s="1">
        <v>0.84</v>
      </c>
      <c r="M74" s="1">
        <v>0.18</v>
      </c>
      <c r="N74" s="3">
        <v>7.5954861111111107</v>
      </c>
      <c r="O74" s="3">
        <v>21</v>
      </c>
    </row>
    <row r="75" spans="1:15" x14ac:dyDescent="0.25">
      <c r="A75" s="1" t="s">
        <v>171</v>
      </c>
      <c r="B75" s="1" t="s">
        <v>152</v>
      </c>
      <c r="C75" s="1" t="s">
        <v>138</v>
      </c>
      <c r="D75" s="1" t="s">
        <v>101</v>
      </c>
      <c r="E75" s="1">
        <v>0</v>
      </c>
      <c r="F75" s="1" t="s">
        <v>362</v>
      </c>
      <c r="G75" s="2">
        <v>44491</v>
      </c>
      <c r="H75" s="3">
        <v>55</v>
      </c>
      <c r="I75" s="3">
        <v>24</v>
      </c>
      <c r="J75" s="3">
        <v>16</v>
      </c>
      <c r="K75" s="3">
        <v>28</v>
      </c>
      <c r="L75" s="1">
        <v>1.17</v>
      </c>
      <c r="M75" s="1">
        <v>0.32</v>
      </c>
      <c r="N75" s="3">
        <v>7.0323065364387674</v>
      </c>
      <c r="O75" s="3">
        <v>27</v>
      </c>
    </row>
    <row r="76" spans="1:15" x14ac:dyDescent="0.25">
      <c r="A76" s="1" t="s">
        <v>172</v>
      </c>
      <c r="B76" s="1" t="s">
        <v>152</v>
      </c>
      <c r="C76" s="1" t="s">
        <v>138</v>
      </c>
      <c r="D76" s="1" t="s">
        <v>101</v>
      </c>
      <c r="E76" s="1">
        <v>0</v>
      </c>
      <c r="F76" s="1" t="s">
        <v>362</v>
      </c>
      <c r="G76" s="2">
        <v>44491</v>
      </c>
      <c r="H76" s="3">
        <v>52</v>
      </c>
      <c r="I76" s="3">
        <v>22</v>
      </c>
      <c r="J76" s="3">
        <v>19</v>
      </c>
      <c r="K76" s="3">
        <v>29</v>
      </c>
      <c r="L76" s="1">
        <v>1.1599999999999999</v>
      </c>
      <c r="M76" s="1">
        <v>0.36</v>
      </c>
      <c r="N76" s="3">
        <v>8.2498862084660871</v>
      </c>
      <c r="O76" s="3">
        <v>31</v>
      </c>
    </row>
    <row r="77" spans="1:15" x14ac:dyDescent="0.25">
      <c r="A77" s="1" t="s">
        <v>249</v>
      </c>
      <c r="B77" s="1" t="s">
        <v>152</v>
      </c>
      <c r="C77" s="1" t="s">
        <v>138</v>
      </c>
      <c r="D77" s="1" t="s">
        <v>279</v>
      </c>
      <c r="E77" s="1">
        <v>3</v>
      </c>
      <c r="F77" s="1" t="s">
        <v>363</v>
      </c>
      <c r="G77" s="4">
        <v>44498</v>
      </c>
      <c r="H77" s="3">
        <v>62</v>
      </c>
      <c r="I77" s="3">
        <v>28</v>
      </c>
      <c r="J77" s="3">
        <v>22</v>
      </c>
      <c r="K77" s="3">
        <v>51</v>
      </c>
      <c r="L77" s="1">
        <v>2.41</v>
      </c>
      <c r="M77" s="1">
        <v>0.8</v>
      </c>
      <c r="N77" s="3">
        <v>10.112114396965527</v>
      </c>
      <c r="O77" s="3">
        <v>33</v>
      </c>
    </row>
    <row r="78" spans="1:15" x14ac:dyDescent="0.25">
      <c r="A78" s="1" t="s">
        <v>250</v>
      </c>
      <c r="B78" s="1" t="s">
        <v>152</v>
      </c>
      <c r="C78" s="1" t="s">
        <v>138</v>
      </c>
      <c r="D78" s="1" t="s">
        <v>279</v>
      </c>
      <c r="E78" s="1">
        <v>3</v>
      </c>
      <c r="F78" s="1" t="s">
        <v>363</v>
      </c>
      <c r="G78" s="4">
        <v>44498</v>
      </c>
      <c r="H78" s="3">
        <v>60</v>
      </c>
      <c r="I78" s="3">
        <v>28</v>
      </c>
      <c r="J78" s="3">
        <v>20</v>
      </c>
      <c r="K78" s="3">
        <v>45</v>
      </c>
      <c r="L78" s="1">
        <v>1.7</v>
      </c>
      <c r="M78" s="1">
        <v>0.38</v>
      </c>
      <c r="N78" s="3">
        <v>7.8703703703703694</v>
      </c>
      <c r="O78" s="3">
        <v>22</v>
      </c>
    </row>
    <row r="79" spans="1:15" x14ac:dyDescent="0.25">
      <c r="A79" s="1" t="s">
        <v>251</v>
      </c>
      <c r="B79" s="1" t="s">
        <v>152</v>
      </c>
      <c r="C79" s="1" t="s">
        <v>138</v>
      </c>
      <c r="D79" s="1" t="s">
        <v>279</v>
      </c>
      <c r="E79" s="1">
        <v>3</v>
      </c>
      <c r="F79" s="1" t="s">
        <v>363</v>
      </c>
      <c r="G79" s="4">
        <v>44498</v>
      </c>
      <c r="H79" s="3">
        <v>55</v>
      </c>
      <c r="I79" s="3">
        <v>23</v>
      </c>
      <c r="J79" s="3">
        <v>19</v>
      </c>
      <c r="K79" s="3">
        <v>32</v>
      </c>
      <c r="L79" s="1">
        <v>1.45</v>
      </c>
      <c r="M79" s="1">
        <v>0.61</v>
      </c>
      <c r="N79" s="3">
        <v>8.7152516904583024</v>
      </c>
      <c r="O79" s="3">
        <v>42</v>
      </c>
    </row>
    <row r="80" spans="1:15" x14ac:dyDescent="0.25">
      <c r="A80" s="1" t="s">
        <v>252</v>
      </c>
      <c r="B80" s="1" t="s">
        <v>152</v>
      </c>
      <c r="C80" s="1" t="s">
        <v>138</v>
      </c>
      <c r="D80" s="1" t="s">
        <v>279</v>
      </c>
      <c r="E80" s="1">
        <v>3</v>
      </c>
      <c r="F80" s="1" t="s">
        <v>363</v>
      </c>
      <c r="G80" s="4">
        <v>44498</v>
      </c>
      <c r="H80" s="3">
        <v>55</v>
      </c>
      <c r="I80" s="3">
        <v>25</v>
      </c>
      <c r="J80" s="3">
        <v>18</v>
      </c>
      <c r="K80" s="3">
        <v>33</v>
      </c>
      <c r="L80" s="1">
        <v>1.58</v>
      </c>
      <c r="M80" s="1">
        <v>0.34</v>
      </c>
      <c r="N80" s="3">
        <v>9.4966190833959416</v>
      </c>
      <c r="O80" s="3">
        <v>22</v>
      </c>
    </row>
    <row r="81" spans="1:15" x14ac:dyDescent="0.25">
      <c r="A81" s="1" t="s">
        <v>253</v>
      </c>
      <c r="B81" s="1" t="s">
        <v>152</v>
      </c>
      <c r="C81" s="1" t="s">
        <v>138</v>
      </c>
      <c r="D81" s="1" t="s">
        <v>279</v>
      </c>
      <c r="E81" s="1">
        <v>3</v>
      </c>
      <c r="F81" s="1" t="s">
        <v>363</v>
      </c>
      <c r="G81" s="4">
        <v>44498</v>
      </c>
      <c r="H81" s="3">
        <v>56</v>
      </c>
      <c r="I81" s="3">
        <v>26</v>
      </c>
      <c r="J81" s="3">
        <v>20</v>
      </c>
      <c r="K81" s="3">
        <v>39</v>
      </c>
      <c r="L81" s="1">
        <v>1.83</v>
      </c>
      <c r="M81" s="1">
        <v>0.47</v>
      </c>
      <c r="N81" s="3">
        <v>10.420462827988342</v>
      </c>
      <c r="O81" s="3">
        <v>26</v>
      </c>
    </row>
    <row r="82" spans="1:15" x14ac:dyDescent="0.25">
      <c r="A82" s="1" t="s">
        <v>254</v>
      </c>
      <c r="B82" s="1" t="s">
        <v>152</v>
      </c>
      <c r="C82" s="1" t="s">
        <v>138</v>
      </c>
      <c r="D82" s="1" t="s">
        <v>279</v>
      </c>
      <c r="E82" s="1">
        <v>3</v>
      </c>
      <c r="F82" s="1" t="s">
        <v>363</v>
      </c>
      <c r="G82" s="4">
        <v>44498</v>
      </c>
      <c r="H82" s="3">
        <v>68</v>
      </c>
      <c r="I82" s="3">
        <v>30</v>
      </c>
      <c r="J82" s="3">
        <v>23</v>
      </c>
      <c r="K82" s="3">
        <v>63</v>
      </c>
      <c r="L82" s="1">
        <v>1.78</v>
      </c>
      <c r="M82" s="1">
        <v>0.44</v>
      </c>
      <c r="N82" s="3">
        <v>5.6610014247913707</v>
      </c>
      <c r="O82" s="3">
        <v>25</v>
      </c>
    </row>
    <row r="83" spans="1:15" x14ac:dyDescent="0.25">
      <c r="A83" s="1" t="s">
        <v>255</v>
      </c>
      <c r="B83" s="1" t="s">
        <v>152</v>
      </c>
      <c r="C83" s="1" t="s">
        <v>138</v>
      </c>
      <c r="D83" s="1" t="s">
        <v>279</v>
      </c>
      <c r="E83" s="1">
        <v>3</v>
      </c>
      <c r="F83" s="1" t="s">
        <v>363</v>
      </c>
      <c r="G83" s="4">
        <v>44498</v>
      </c>
      <c r="H83" s="3">
        <v>55</v>
      </c>
      <c r="I83" s="3">
        <v>25</v>
      </c>
      <c r="J83" s="3">
        <v>20</v>
      </c>
      <c r="K83" s="3">
        <v>37</v>
      </c>
      <c r="L83" s="1">
        <v>1.69</v>
      </c>
      <c r="M83" s="1">
        <v>0.7</v>
      </c>
      <c r="N83" s="3">
        <v>10.157776108189331</v>
      </c>
      <c r="O83" s="3">
        <v>41</v>
      </c>
    </row>
    <row r="84" spans="1:15" x14ac:dyDescent="0.25">
      <c r="A84" s="1" t="s">
        <v>256</v>
      </c>
      <c r="B84" s="1" t="s">
        <v>152</v>
      </c>
      <c r="C84" s="1" t="s">
        <v>138</v>
      </c>
      <c r="D84" s="1" t="s">
        <v>279</v>
      </c>
      <c r="E84" s="1">
        <v>3</v>
      </c>
      <c r="F84" s="1" t="s">
        <v>363</v>
      </c>
      <c r="G84" s="4">
        <v>44498</v>
      </c>
      <c r="H84" s="3">
        <v>59</v>
      </c>
      <c r="I84" s="3">
        <v>27</v>
      </c>
      <c r="J84" s="3">
        <v>18</v>
      </c>
      <c r="K84" s="3">
        <v>38</v>
      </c>
      <c r="L84" s="1">
        <v>1.48</v>
      </c>
      <c r="M84" s="1">
        <v>0.5</v>
      </c>
      <c r="N84" s="3">
        <v>7.2061895325227985</v>
      </c>
      <c r="O84" s="3">
        <v>34</v>
      </c>
    </row>
    <row r="85" spans="1:15" x14ac:dyDescent="0.25">
      <c r="A85" s="1" t="s">
        <v>257</v>
      </c>
      <c r="B85" s="1" t="s">
        <v>152</v>
      </c>
      <c r="C85" s="1" t="s">
        <v>138</v>
      </c>
      <c r="D85" s="1" t="s">
        <v>279</v>
      </c>
      <c r="E85" s="1">
        <v>3</v>
      </c>
      <c r="F85" s="1" t="s">
        <v>363</v>
      </c>
      <c r="G85" s="4">
        <v>44498</v>
      </c>
      <c r="H85" s="3">
        <v>61</v>
      </c>
      <c r="I85" s="3">
        <v>27</v>
      </c>
      <c r="J85" s="3">
        <v>20</v>
      </c>
      <c r="K85" s="3">
        <v>44</v>
      </c>
      <c r="L85" s="1">
        <v>1.72</v>
      </c>
      <c r="M85" s="1">
        <v>0.72</v>
      </c>
      <c r="N85" s="3">
        <v>7.5777267700820792</v>
      </c>
      <c r="O85" s="3">
        <v>42</v>
      </c>
    </row>
    <row r="86" spans="1:15" x14ac:dyDescent="0.25">
      <c r="A86" s="1" t="s">
        <v>258</v>
      </c>
      <c r="B86" s="1" t="s">
        <v>152</v>
      </c>
      <c r="C86" s="1" t="s">
        <v>138</v>
      </c>
      <c r="D86" s="1" t="s">
        <v>279</v>
      </c>
      <c r="E86" s="1">
        <v>3</v>
      </c>
      <c r="F86" s="1" t="s">
        <v>363</v>
      </c>
      <c r="G86" s="4">
        <v>44498</v>
      </c>
      <c r="H86" s="3">
        <v>65</v>
      </c>
      <c r="I86" s="3">
        <v>27</v>
      </c>
      <c r="J86" s="3">
        <v>20</v>
      </c>
      <c r="K86" s="3">
        <v>47</v>
      </c>
      <c r="L86" s="1">
        <v>1.88</v>
      </c>
      <c r="M86" s="1">
        <v>0.46</v>
      </c>
      <c r="N86" s="3">
        <v>6.8456986800182067</v>
      </c>
      <c r="O86" s="3">
        <v>24</v>
      </c>
    </row>
    <row r="87" spans="1:15" x14ac:dyDescent="0.25">
      <c r="A87" s="1" t="s">
        <v>259</v>
      </c>
      <c r="B87" s="1" t="s">
        <v>152</v>
      </c>
      <c r="C87" s="1" t="s">
        <v>138</v>
      </c>
      <c r="D87" s="1" t="s">
        <v>279</v>
      </c>
      <c r="E87" s="1">
        <v>3</v>
      </c>
      <c r="F87" s="1" t="s">
        <v>363</v>
      </c>
      <c r="G87" s="4">
        <v>44498</v>
      </c>
      <c r="H87" s="3">
        <v>54</v>
      </c>
      <c r="I87" s="1">
        <v>26</v>
      </c>
      <c r="J87" s="3">
        <v>16</v>
      </c>
      <c r="K87" s="3">
        <v>30</v>
      </c>
      <c r="L87" s="1">
        <v>0.85</v>
      </c>
      <c r="M87" s="1">
        <v>0.18</v>
      </c>
      <c r="N87" s="3">
        <v>5.3980592389371536</v>
      </c>
      <c r="O87" s="3">
        <v>21</v>
      </c>
    </row>
    <row r="88" spans="1:15" x14ac:dyDescent="0.25">
      <c r="A88" s="1" t="s">
        <v>260</v>
      </c>
      <c r="B88" s="1" t="s">
        <v>152</v>
      </c>
      <c r="C88" s="1" t="s">
        <v>138</v>
      </c>
      <c r="D88" s="1" t="s">
        <v>279</v>
      </c>
      <c r="E88" s="1">
        <v>3</v>
      </c>
      <c r="F88" s="1" t="s">
        <v>363</v>
      </c>
      <c r="G88" s="4">
        <v>44498</v>
      </c>
      <c r="H88" s="3">
        <v>56</v>
      </c>
      <c r="I88" s="1">
        <v>27</v>
      </c>
      <c r="J88" s="3">
        <v>16</v>
      </c>
      <c r="K88" s="3">
        <v>32</v>
      </c>
      <c r="L88" s="1">
        <v>1.39</v>
      </c>
      <c r="M88" s="1">
        <v>0.27</v>
      </c>
      <c r="N88" s="3">
        <v>7.9149963556851333</v>
      </c>
      <c r="O88" s="3">
        <v>19</v>
      </c>
    </row>
    <row r="89" spans="1:15" x14ac:dyDescent="0.25">
      <c r="A89" s="1" t="s">
        <v>261</v>
      </c>
      <c r="B89" s="1" t="s">
        <v>152</v>
      </c>
      <c r="C89" s="1" t="s">
        <v>138</v>
      </c>
      <c r="D89" s="1" t="s">
        <v>279</v>
      </c>
      <c r="E89" s="1">
        <v>3</v>
      </c>
      <c r="F89" s="1" t="s">
        <v>363</v>
      </c>
      <c r="G89" s="4">
        <v>44498</v>
      </c>
      <c r="H89" s="3">
        <v>61</v>
      </c>
      <c r="I89" s="1">
        <v>25</v>
      </c>
      <c r="J89" s="3">
        <v>19</v>
      </c>
      <c r="K89" s="3">
        <v>39</v>
      </c>
      <c r="L89" s="1">
        <v>1.62</v>
      </c>
      <c r="M89" s="1">
        <v>0.3</v>
      </c>
      <c r="N89" s="3">
        <v>7.1371612601935865</v>
      </c>
      <c r="O89" s="3">
        <v>19</v>
      </c>
    </row>
    <row r="90" spans="1:15" x14ac:dyDescent="0.25">
      <c r="A90" s="1" t="s">
        <v>262</v>
      </c>
      <c r="B90" s="1" t="s">
        <v>152</v>
      </c>
      <c r="C90" s="1" t="s">
        <v>138</v>
      </c>
      <c r="D90" s="1" t="s">
        <v>279</v>
      </c>
      <c r="E90" s="1">
        <v>3</v>
      </c>
      <c r="F90" s="1" t="s">
        <v>363</v>
      </c>
      <c r="G90" s="4">
        <v>44498</v>
      </c>
      <c r="H90" s="3">
        <v>45</v>
      </c>
      <c r="I90" s="1">
        <v>21</v>
      </c>
      <c r="J90" s="3">
        <v>14</v>
      </c>
      <c r="K90" s="3">
        <v>18</v>
      </c>
      <c r="L90" s="1">
        <v>0.68</v>
      </c>
      <c r="M90" s="1">
        <v>0.21</v>
      </c>
      <c r="N90" s="3">
        <v>7.4622770919067225</v>
      </c>
      <c r="O90" s="3">
        <v>31</v>
      </c>
    </row>
    <row r="91" spans="1:15" x14ac:dyDescent="0.25">
      <c r="A91" s="1" t="s">
        <v>263</v>
      </c>
      <c r="B91" s="1" t="s">
        <v>152</v>
      </c>
      <c r="C91" s="1" t="s">
        <v>138</v>
      </c>
      <c r="D91" s="1" t="s">
        <v>279</v>
      </c>
      <c r="E91" s="1">
        <v>3</v>
      </c>
      <c r="F91" s="1" t="s">
        <v>363</v>
      </c>
      <c r="G91" s="4">
        <v>44498</v>
      </c>
      <c r="H91" s="3">
        <v>55</v>
      </c>
      <c r="I91" s="1">
        <v>25</v>
      </c>
      <c r="J91" s="3">
        <v>17</v>
      </c>
      <c r="K91" s="3">
        <v>31</v>
      </c>
      <c r="L91" s="1">
        <v>1.1599999999999999</v>
      </c>
      <c r="M91" s="1">
        <v>0.42</v>
      </c>
      <c r="N91" s="3">
        <v>6.9722013523666408</v>
      </c>
      <c r="O91" s="3">
        <v>36</v>
      </c>
    </row>
    <row r="92" spans="1:15" x14ac:dyDescent="0.25">
      <c r="A92" s="1" t="s">
        <v>327</v>
      </c>
      <c r="B92" s="1" t="s">
        <v>152</v>
      </c>
      <c r="C92" s="1" t="s">
        <v>138</v>
      </c>
      <c r="D92" s="1" t="s">
        <v>31</v>
      </c>
      <c r="E92" s="1">
        <v>3</v>
      </c>
      <c r="F92" s="1" t="s">
        <v>364</v>
      </c>
      <c r="G92" s="4">
        <v>44498</v>
      </c>
      <c r="H92" s="1">
        <v>58</v>
      </c>
      <c r="I92" s="1">
        <v>27</v>
      </c>
      <c r="J92" s="3">
        <v>18</v>
      </c>
      <c r="K92" s="3">
        <v>38</v>
      </c>
      <c r="L92" s="1">
        <v>1.81</v>
      </c>
      <c r="M92" s="1">
        <v>0.4</v>
      </c>
      <c r="N92" s="3">
        <v>9.2767231128787575</v>
      </c>
      <c r="O92" s="3">
        <v>22</v>
      </c>
    </row>
    <row r="93" spans="1:15" x14ac:dyDescent="0.25">
      <c r="A93" s="1" t="s">
        <v>328</v>
      </c>
      <c r="B93" s="1" t="s">
        <v>152</v>
      </c>
      <c r="C93" s="1" t="s">
        <v>138</v>
      </c>
      <c r="D93" s="1" t="s">
        <v>31</v>
      </c>
      <c r="E93" s="1">
        <v>3</v>
      </c>
      <c r="F93" s="1" t="s">
        <v>364</v>
      </c>
      <c r="G93" s="4">
        <v>44498</v>
      </c>
      <c r="H93" s="1">
        <v>62</v>
      </c>
      <c r="I93" s="1">
        <v>31</v>
      </c>
      <c r="J93" s="3">
        <v>22</v>
      </c>
      <c r="K93" s="3">
        <v>56</v>
      </c>
      <c r="L93" s="1">
        <v>1.88</v>
      </c>
      <c r="M93" s="1">
        <v>0.34</v>
      </c>
      <c r="N93" s="3">
        <v>7.8882884092511141</v>
      </c>
      <c r="O93" s="3">
        <v>18</v>
      </c>
    </row>
    <row r="94" spans="1:15" x14ac:dyDescent="0.25">
      <c r="A94" s="1" t="s">
        <v>329</v>
      </c>
      <c r="B94" s="1" t="s">
        <v>152</v>
      </c>
      <c r="C94" s="1" t="s">
        <v>138</v>
      </c>
      <c r="D94" s="1" t="s">
        <v>31</v>
      </c>
      <c r="E94" s="1">
        <v>3</v>
      </c>
      <c r="F94" s="1" t="s">
        <v>364</v>
      </c>
      <c r="G94" s="4">
        <v>44498</v>
      </c>
      <c r="H94" s="1">
        <v>47</v>
      </c>
      <c r="I94" s="1">
        <v>20</v>
      </c>
      <c r="J94" s="3">
        <v>17</v>
      </c>
      <c r="K94" s="3">
        <v>21</v>
      </c>
      <c r="L94" s="1">
        <v>0.89</v>
      </c>
      <c r="M94" s="1">
        <v>0.3</v>
      </c>
      <c r="N94" s="3">
        <v>8.5722816716912416</v>
      </c>
      <c r="O94" s="3">
        <v>34</v>
      </c>
    </row>
    <row r="95" spans="1:15" x14ac:dyDescent="0.25">
      <c r="A95" s="1" t="s">
        <v>330</v>
      </c>
      <c r="B95" s="1" t="s">
        <v>152</v>
      </c>
      <c r="C95" s="1" t="s">
        <v>138</v>
      </c>
      <c r="D95" s="1" t="s">
        <v>31</v>
      </c>
      <c r="E95" s="1">
        <v>3</v>
      </c>
      <c r="F95" s="1" t="s">
        <v>364</v>
      </c>
      <c r="G95" s="4">
        <v>44498</v>
      </c>
      <c r="H95" s="1">
        <v>67</v>
      </c>
      <c r="I95" s="1">
        <v>31</v>
      </c>
      <c r="J95" s="3">
        <v>24</v>
      </c>
      <c r="K95" s="3">
        <v>66</v>
      </c>
      <c r="L95" s="1">
        <v>2.1</v>
      </c>
      <c r="M95" s="1">
        <v>0.53</v>
      </c>
      <c r="N95" s="3">
        <v>6.9822418316082757</v>
      </c>
      <c r="O95" s="3">
        <v>25</v>
      </c>
    </row>
    <row r="96" spans="1:15" x14ac:dyDescent="0.25">
      <c r="A96" s="1" t="s">
        <v>331</v>
      </c>
      <c r="B96" s="1" t="s">
        <v>152</v>
      </c>
      <c r="C96" s="1" t="s">
        <v>138</v>
      </c>
      <c r="D96" s="1" t="s">
        <v>31</v>
      </c>
      <c r="E96" s="1">
        <v>3</v>
      </c>
      <c r="F96" s="1" t="s">
        <v>364</v>
      </c>
      <c r="G96" s="4">
        <v>44498</v>
      </c>
      <c r="H96" s="1">
        <v>46</v>
      </c>
      <c r="I96" s="1">
        <v>21</v>
      </c>
      <c r="J96" s="3">
        <v>16</v>
      </c>
      <c r="K96" s="3">
        <v>21</v>
      </c>
      <c r="L96" s="1">
        <v>0.87</v>
      </c>
      <c r="M96" s="1">
        <v>0.23</v>
      </c>
      <c r="N96" s="3">
        <v>8.9381112846223409</v>
      </c>
      <c r="O96" s="3">
        <v>26</v>
      </c>
    </row>
    <row r="97" spans="1:15" x14ac:dyDescent="0.25">
      <c r="A97" s="1" t="s">
        <v>332</v>
      </c>
      <c r="B97" s="1" t="s">
        <v>152</v>
      </c>
      <c r="C97" s="1" t="s">
        <v>138</v>
      </c>
      <c r="D97" s="1" t="s">
        <v>31</v>
      </c>
      <c r="E97" s="1">
        <v>3</v>
      </c>
      <c r="F97" s="1" t="s">
        <v>364</v>
      </c>
      <c r="G97" s="4">
        <v>44498</v>
      </c>
      <c r="H97" s="1">
        <v>66</v>
      </c>
      <c r="I97" s="1">
        <v>29</v>
      </c>
      <c r="J97" s="3">
        <v>21</v>
      </c>
      <c r="K97" s="3">
        <v>54</v>
      </c>
      <c r="L97" s="1">
        <v>1.64</v>
      </c>
      <c r="M97" s="1">
        <v>0.28000000000000003</v>
      </c>
      <c r="N97" s="3">
        <v>5.7044271920304981</v>
      </c>
      <c r="O97" s="3">
        <v>17</v>
      </c>
    </row>
    <row r="98" spans="1:15" x14ac:dyDescent="0.25">
      <c r="A98" s="1" t="s">
        <v>333</v>
      </c>
      <c r="B98" s="1" t="s">
        <v>152</v>
      </c>
      <c r="C98" s="1" t="s">
        <v>138</v>
      </c>
      <c r="D98" s="1" t="s">
        <v>31</v>
      </c>
      <c r="E98" s="1">
        <v>3</v>
      </c>
      <c r="F98" s="1" t="s">
        <v>364</v>
      </c>
      <c r="G98" s="4">
        <v>44498</v>
      </c>
      <c r="H98" s="1">
        <v>44</v>
      </c>
      <c r="I98" s="1">
        <v>19</v>
      </c>
      <c r="J98" s="3">
        <v>14</v>
      </c>
      <c r="K98" s="3">
        <v>16</v>
      </c>
      <c r="L98" s="1">
        <v>0.59</v>
      </c>
      <c r="M98" s="1">
        <v>0.09</v>
      </c>
      <c r="N98" s="3">
        <v>6.9261833208114174</v>
      </c>
      <c r="O98" s="3">
        <v>15</v>
      </c>
    </row>
    <row r="99" spans="1:15" x14ac:dyDescent="0.25">
      <c r="A99" s="1" t="s">
        <v>334</v>
      </c>
      <c r="B99" s="1" t="s">
        <v>152</v>
      </c>
      <c r="C99" s="1" t="s">
        <v>138</v>
      </c>
      <c r="D99" s="1" t="s">
        <v>31</v>
      </c>
      <c r="E99" s="1">
        <v>3</v>
      </c>
      <c r="F99" s="1" t="s">
        <v>364</v>
      </c>
      <c r="G99" s="4">
        <v>44498</v>
      </c>
      <c r="H99" s="1">
        <v>48</v>
      </c>
      <c r="I99" s="1">
        <v>23</v>
      </c>
      <c r="J99" s="3">
        <v>15</v>
      </c>
      <c r="K99" s="3">
        <v>22</v>
      </c>
      <c r="L99" s="1">
        <v>0.88</v>
      </c>
      <c r="M99" s="1">
        <v>0.19</v>
      </c>
      <c r="N99" s="3">
        <v>7.9571759259259265</v>
      </c>
      <c r="O99" s="3">
        <v>22</v>
      </c>
    </row>
    <row r="100" spans="1:15" x14ac:dyDescent="0.25">
      <c r="A100" s="1" t="s">
        <v>335</v>
      </c>
      <c r="B100" s="1" t="s">
        <v>152</v>
      </c>
      <c r="C100" s="1" t="s">
        <v>138</v>
      </c>
      <c r="D100" s="1" t="s">
        <v>31</v>
      </c>
      <c r="E100" s="1">
        <v>3</v>
      </c>
      <c r="F100" s="1" t="s">
        <v>364</v>
      </c>
      <c r="G100" s="4">
        <v>44498</v>
      </c>
      <c r="H100" s="1">
        <v>47</v>
      </c>
      <c r="I100" s="1">
        <v>21</v>
      </c>
      <c r="J100" s="3">
        <v>14</v>
      </c>
      <c r="K100" s="3">
        <v>18</v>
      </c>
      <c r="L100" s="1">
        <v>0.95</v>
      </c>
      <c r="M100" s="1">
        <v>0.28999999999999998</v>
      </c>
      <c r="N100" s="3">
        <v>9.1501883012434604</v>
      </c>
      <c r="O100" s="3">
        <v>31</v>
      </c>
    </row>
    <row r="101" spans="1:15" x14ac:dyDescent="0.25">
      <c r="A101" s="1" t="s">
        <v>336</v>
      </c>
      <c r="B101" s="1" t="s">
        <v>152</v>
      </c>
      <c r="C101" s="1" t="s">
        <v>138</v>
      </c>
      <c r="D101" s="1" t="s">
        <v>31</v>
      </c>
      <c r="E101" s="1">
        <v>3</v>
      </c>
      <c r="F101" s="1" t="s">
        <v>364</v>
      </c>
      <c r="G101" s="4">
        <v>44498</v>
      </c>
      <c r="H101" s="1">
        <v>63</v>
      </c>
      <c r="I101" s="1">
        <v>26</v>
      </c>
      <c r="J101" s="3">
        <v>22</v>
      </c>
      <c r="K101" s="3">
        <v>48</v>
      </c>
      <c r="L101" s="1">
        <v>1.91</v>
      </c>
      <c r="M101" s="1">
        <v>0.69</v>
      </c>
      <c r="N101" s="3">
        <v>7.6385639499774047</v>
      </c>
      <c r="O101" s="3">
        <v>36</v>
      </c>
    </row>
    <row r="102" spans="1:15" x14ac:dyDescent="0.25">
      <c r="A102" s="1" t="s">
        <v>337</v>
      </c>
      <c r="B102" s="1" t="s">
        <v>152</v>
      </c>
      <c r="C102" s="1" t="s">
        <v>138</v>
      </c>
      <c r="D102" s="1" t="s">
        <v>47</v>
      </c>
      <c r="E102" s="1">
        <v>3</v>
      </c>
      <c r="F102" s="1" t="s">
        <v>365</v>
      </c>
      <c r="G102" s="4">
        <v>44498</v>
      </c>
      <c r="H102" s="1">
        <v>55</v>
      </c>
      <c r="I102" s="1">
        <v>27</v>
      </c>
      <c r="J102" s="3">
        <v>18</v>
      </c>
      <c r="K102" s="3">
        <v>36</v>
      </c>
      <c r="L102" s="1">
        <v>1.29</v>
      </c>
      <c r="M102" s="1">
        <v>0.52</v>
      </c>
      <c r="N102" s="3">
        <v>7.7535687453042827</v>
      </c>
      <c r="O102" s="3">
        <v>40</v>
      </c>
    </row>
    <row r="103" spans="1:15" x14ac:dyDescent="0.25">
      <c r="A103" s="1" t="s">
        <v>338</v>
      </c>
      <c r="B103" s="1" t="s">
        <v>152</v>
      </c>
      <c r="C103" s="1" t="s">
        <v>138</v>
      </c>
      <c r="D103" s="1" t="s">
        <v>47</v>
      </c>
      <c r="E103" s="1">
        <v>3</v>
      </c>
      <c r="F103" s="1" t="s">
        <v>365</v>
      </c>
      <c r="G103" s="4">
        <v>44498</v>
      </c>
      <c r="H103" s="1">
        <v>50</v>
      </c>
      <c r="I103" s="1">
        <v>22</v>
      </c>
      <c r="J103" s="3">
        <v>18</v>
      </c>
      <c r="K103" s="3">
        <v>26</v>
      </c>
      <c r="L103" s="1">
        <v>0.45</v>
      </c>
      <c r="M103" s="1">
        <v>0.14000000000000001</v>
      </c>
      <c r="N103" s="3">
        <v>3.6</v>
      </c>
      <c r="O103" s="3">
        <v>31</v>
      </c>
    </row>
    <row r="104" spans="1:15" x14ac:dyDescent="0.25">
      <c r="A104" s="1" t="s">
        <v>339</v>
      </c>
      <c r="B104" s="1" t="s">
        <v>152</v>
      </c>
      <c r="C104" s="1" t="s">
        <v>138</v>
      </c>
      <c r="D104" s="1" t="s">
        <v>47</v>
      </c>
      <c r="E104" s="1">
        <v>3</v>
      </c>
      <c r="F104" s="1" t="s">
        <v>365</v>
      </c>
      <c r="G104" s="4">
        <v>44498</v>
      </c>
      <c r="H104" s="1">
        <v>63</v>
      </c>
      <c r="I104" s="1">
        <v>26</v>
      </c>
      <c r="J104" s="3">
        <v>22</v>
      </c>
      <c r="K104" s="3">
        <v>48</v>
      </c>
      <c r="L104" s="1">
        <v>2.12</v>
      </c>
      <c r="M104" s="1">
        <v>0.74</v>
      </c>
      <c r="N104" s="3">
        <v>8.4784060596607862</v>
      </c>
      <c r="O104" s="3">
        <v>35</v>
      </c>
    </row>
    <row r="105" spans="1:15" x14ac:dyDescent="0.25">
      <c r="A105" s="1" t="s">
        <v>340</v>
      </c>
      <c r="B105" s="1" t="s">
        <v>152</v>
      </c>
      <c r="C105" s="1" t="s">
        <v>138</v>
      </c>
      <c r="D105" s="1" t="s">
        <v>47</v>
      </c>
      <c r="E105" s="1">
        <v>3</v>
      </c>
      <c r="F105" s="1" t="s">
        <v>365</v>
      </c>
      <c r="G105" s="4">
        <v>44498</v>
      </c>
      <c r="H105" s="1">
        <v>66</v>
      </c>
      <c r="I105" s="1">
        <v>30</v>
      </c>
      <c r="J105" s="3">
        <v>23</v>
      </c>
      <c r="K105" s="3">
        <v>61</v>
      </c>
      <c r="L105" s="1">
        <v>2.34</v>
      </c>
      <c r="M105" s="1">
        <v>0.82</v>
      </c>
      <c r="N105" s="3">
        <v>8.1392436764337592</v>
      </c>
      <c r="O105" s="3">
        <v>35</v>
      </c>
    </row>
    <row r="106" spans="1:15" x14ac:dyDescent="0.25">
      <c r="A106" s="1" t="s">
        <v>341</v>
      </c>
      <c r="B106" s="1" t="s">
        <v>152</v>
      </c>
      <c r="C106" s="1" t="s">
        <v>138</v>
      </c>
      <c r="D106" s="1" t="s">
        <v>47</v>
      </c>
      <c r="E106" s="1">
        <v>3</v>
      </c>
      <c r="F106" s="1" t="s">
        <v>365</v>
      </c>
      <c r="G106" s="4">
        <v>44498</v>
      </c>
      <c r="H106" s="1">
        <v>43</v>
      </c>
      <c r="I106" s="1">
        <v>21</v>
      </c>
      <c r="J106" s="3">
        <v>15</v>
      </c>
      <c r="K106" s="3">
        <v>18</v>
      </c>
      <c r="L106" s="1">
        <v>0.54</v>
      </c>
      <c r="M106" s="1">
        <v>0.16</v>
      </c>
      <c r="N106" s="3">
        <v>6.7918548052372758</v>
      </c>
      <c r="O106" s="3">
        <v>30</v>
      </c>
    </row>
    <row r="107" spans="1:15" x14ac:dyDescent="0.25">
      <c r="A107" s="1" t="s">
        <v>342</v>
      </c>
      <c r="B107" s="1" t="s">
        <v>152</v>
      </c>
      <c r="C107" s="1" t="s">
        <v>138</v>
      </c>
      <c r="D107" s="1" t="s">
        <v>47</v>
      </c>
      <c r="E107" s="1">
        <v>3</v>
      </c>
      <c r="F107" s="1" t="s">
        <v>365</v>
      </c>
      <c r="G107" s="4">
        <v>44498</v>
      </c>
      <c r="H107" s="1">
        <v>45</v>
      </c>
      <c r="I107" s="1">
        <v>18</v>
      </c>
      <c r="J107" s="3">
        <v>14</v>
      </c>
      <c r="K107" s="3">
        <v>15</v>
      </c>
      <c r="L107" s="1">
        <v>0.5</v>
      </c>
      <c r="M107" s="1">
        <v>0.18</v>
      </c>
      <c r="N107" s="3">
        <v>5.4869684499314122</v>
      </c>
      <c r="O107" s="3">
        <v>36</v>
      </c>
    </row>
    <row r="108" spans="1:15" x14ac:dyDescent="0.25">
      <c r="A108" s="1" t="s">
        <v>343</v>
      </c>
      <c r="B108" s="1" t="s">
        <v>152</v>
      </c>
      <c r="C108" s="1" t="s">
        <v>138</v>
      </c>
      <c r="D108" s="1" t="s">
        <v>47</v>
      </c>
      <c r="E108" s="1">
        <v>3</v>
      </c>
      <c r="F108" s="1" t="s">
        <v>365</v>
      </c>
      <c r="G108" s="4">
        <v>44498</v>
      </c>
      <c r="H108" s="1">
        <v>60</v>
      </c>
      <c r="I108" s="1">
        <v>25</v>
      </c>
      <c r="J108" s="3">
        <v>18</v>
      </c>
      <c r="K108" s="3">
        <v>36</v>
      </c>
      <c r="L108" s="1">
        <v>1.76</v>
      </c>
      <c r="M108" s="1">
        <v>0.65</v>
      </c>
      <c r="N108" s="3">
        <v>8.148148148148147</v>
      </c>
      <c r="O108" s="3">
        <v>37</v>
      </c>
    </row>
    <row r="109" spans="1:15" x14ac:dyDescent="0.25">
      <c r="A109" s="1" t="s">
        <v>344</v>
      </c>
      <c r="B109" s="1" t="s">
        <v>152</v>
      </c>
      <c r="C109" s="1" t="s">
        <v>138</v>
      </c>
      <c r="D109" s="1" t="s">
        <v>47</v>
      </c>
      <c r="E109" s="1">
        <v>3</v>
      </c>
      <c r="F109" s="1" t="s">
        <v>365</v>
      </c>
      <c r="G109" s="4">
        <v>44498</v>
      </c>
      <c r="H109" s="1">
        <v>61</v>
      </c>
      <c r="I109" s="1">
        <v>26</v>
      </c>
      <c r="J109" s="3">
        <v>21</v>
      </c>
      <c r="K109" s="3">
        <v>44</v>
      </c>
      <c r="L109" s="1">
        <v>1.91</v>
      </c>
      <c r="M109" s="1">
        <v>0.36</v>
      </c>
      <c r="N109" s="3">
        <v>8.4148012388702167</v>
      </c>
      <c r="O109" s="3">
        <v>19</v>
      </c>
    </row>
    <row r="110" spans="1:15" x14ac:dyDescent="0.25">
      <c r="A110" s="1" t="s">
        <v>345</v>
      </c>
      <c r="B110" s="1" t="s">
        <v>152</v>
      </c>
      <c r="C110" s="1" t="s">
        <v>138</v>
      </c>
      <c r="D110" s="1" t="s">
        <v>47</v>
      </c>
      <c r="E110" s="1">
        <v>3</v>
      </c>
      <c r="F110" s="1" t="s">
        <v>365</v>
      </c>
      <c r="G110" s="4">
        <v>44498</v>
      </c>
      <c r="H110" s="1">
        <v>53</v>
      </c>
      <c r="I110" s="1">
        <v>23</v>
      </c>
      <c r="J110" s="3">
        <v>16</v>
      </c>
      <c r="K110" s="3">
        <v>26</v>
      </c>
      <c r="L110" s="1">
        <v>1.42</v>
      </c>
      <c r="M110" s="1">
        <v>0.27</v>
      </c>
      <c r="N110" s="3">
        <v>9.5380750552469493</v>
      </c>
      <c r="O110" s="3">
        <v>19</v>
      </c>
    </row>
    <row r="111" spans="1:15" x14ac:dyDescent="0.25">
      <c r="A111" s="1" t="s">
        <v>346</v>
      </c>
      <c r="B111" s="1" t="s">
        <v>152</v>
      </c>
      <c r="C111" s="1" t="s">
        <v>138</v>
      </c>
      <c r="D111" s="1" t="s">
        <v>47</v>
      </c>
      <c r="E111" s="1">
        <v>3</v>
      </c>
      <c r="F111" s="1" t="s">
        <v>365</v>
      </c>
      <c r="G111" s="4">
        <v>44498</v>
      </c>
      <c r="H111" s="1">
        <v>66</v>
      </c>
      <c r="I111" s="1">
        <v>27</v>
      </c>
      <c r="J111" s="3">
        <v>23</v>
      </c>
      <c r="K111" s="3">
        <v>55</v>
      </c>
      <c r="L111" s="1">
        <v>2.41</v>
      </c>
      <c r="M111" s="1">
        <v>0.46</v>
      </c>
      <c r="N111" s="3">
        <v>8.3827253248740874</v>
      </c>
      <c r="O111" s="3">
        <v>19</v>
      </c>
    </row>
    <row r="112" spans="1:15" x14ac:dyDescent="0.25">
      <c r="A112" s="1" t="s">
        <v>347</v>
      </c>
      <c r="B112" s="1" t="s">
        <v>152</v>
      </c>
      <c r="C112" s="1" t="s">
        <v>138</v>
      </c>
      <c r="D112" s="1" t="s">
        <v>63</v>
      </c>
      <c r="E112" s="1">
        <v>3</v>
      </c>
      <c r="F112" s="1" t="s">
        <v>366</v>
      </c>
      <c r="G112" s="4">
        <v>44498</v>
      </c>
      <c r="H112" s="1">
        <v>67</v>
      </c>
      <c r="I112" s="1">
        <v>30</v>
      </c>
      <c r="J112" s="3">
        <v>19</v>
      </c>
      <c r="K112" s="3">
        <v>51</v>
      </c>
      <c r="L112" s="1">
        <v>1.23</v>
      </c>
      <c r="M112" s="1">
        <v>0.31</v>
      </c>
      <c r="N112" s="3">
        <v>4.0895987870848467</v>
      </c>
      <c r="O112" s="3">
        <v>25</v>
      </c>
    </row>
    <row r="113" spans="1:15" x14ac:dyDescent="0.25">
      <c r="A113" s="1" t="s">
        <v>348</v>
      </c>
      <c r="B113" s="1" t="s">
        <v>152</v>
      </c>
      <c r="C113" s="1" t="s">
        <v>138</v>
      </c>
      <c r="D113" s="1" t="s">
        <v>63</v>
      </c>
      <c r="E113" s="1">
        <v>3</v>
      </c>
      <c r="F113" s="1" t="s">
        <v>366</v>
      </c>
      <c r="G113" s="4">
        <v>44498</v>
      </c>
      <c r="H113" s="1">
        <v>54</v>
      </c>
      <c r="I113" s="1">
        <v>25</v>
      </c>
      <c r="J113" s="3">
        <v>18</v>
      </c>
      <c r="K113" s="3">
        <v>32</v>
      </c>
      <c r="L113" s="1">
        <v>1.29</v>
      </c>
      <c r="M113" s="1">
        <v>0.36</v>
      </c>
      <c r="N113" s="3">
        <v>8.1923487273281488</v>
      </c>
      <c r="O113" s="3">
        <v>28</v>
      </c>
    </row>
    <row r="114" spans="1:15" x14ac:dyDescent="0.25">
      <c r="A114" s="1" t="s">
        <v>349</v>
      </c>
      <c r="B114" s="1" t="s">
        <v>152</v>
      </c>
      <c r="C114" s="1" t="s">
        <v>138</v>
      </c>
      <c r="D114" s="1" t="s">
        <v>63</v>
      </c>
      <c r="E114" s="1">
        <v>3</v>
      </c>
      <c r="F114" s="1" t="s">
        <v>366</v>
      </c>
      <c r="G114" s="4">
        <v>44498</v>
      </c>
      <c r="H114" s="1">
        <v>66</v>
      </c>
      <c r="I114" s="1">
        <v>29</v>
      </c>
      <c r="J114" s="3">
        <v>19</v>
      </c>
      <c r="K114" s="3">
        <v>48</v>
      </c>
      <c r="L114" s="1">
        <v>2.75</v>
      </c>
      <c r="M114" s="1">
        <v>0.88</v>
      </c>
      <c r="N114" s="3">
        <v>9.5653504744413844</v>
      </c>
      <c r="O114" s="3">
        <v>32</v>
      </c>
    </row>
    <row r="115" spans="1:15" x14ac:dyDescent="0.25">
      <c r="A115" s="1" t="s">
        <v>350</v>
      </c>
      <c r="B115" s="1" t="s">
        <v>152</v>
      </c>
      <c r="C115" s="1" t="s">
        <v>138</v>
      </c>
      <c r="D115" s="1" t="s">
        <v>63</v>
      </c>
      <c r="E115" s="1">
        <v>3</v>
      </c>
      <c r="F115" s="1" t="s">
        <v>366</v>
      </c>
      <c r="G115" s="4">
        <v>44498</v>
      </c>
      <c r="H115" s="1">
        <v>56</v>
      </c>
      <c r="I115" s="1">
        <v>23</v>
      </c>
      <c r="J115" s="3">
        <v>19</v>
      </c>
      <c r="K115" s="3">
        <v>33</v>
      </c>
      <c r="L115" s="1">
        <v>1.65</v>
      </c>
      <c r="M115" s="1">
        <v>0.66</v>
      </c>
      <c r="N115" s="3">
        <v>9.3954992711370284</v>
      </c>
      <c r="O115" s="3">
        <v>40</v>
      </c>
    </row>
    <row r="116" spans="1:15" x14ac:dyDescent="0.25">
      <c r="A116" s="1" t="s">
        <v>351</v>
      </c>
      <c r="B116" s="1" t="s">
        <v>152</v>
      </c>
      <c r="C116" s="1" t="s">
        <v>138</v>
      </c>
      <c r="D116" s="1" t="s">
        <v>63</v>
      </c>
      <c r="E116" s="1">
        <v>3</v>
      </c>
      <c r="F116" s="1" t="s">
        <v>366</v>
      </c>
      <c r="G116" s="4">
        <v>44498</v>
      </c>
      <c r="H116" s="1">
        <v>44</v>
      </c>
      <c r="I116" s="1">
        <v>22</v>
      </c>
      <c r="J116" s="3">
        <v>13</v>
      </c>
      <c r="K116" s="3">
        <v>17</v>
      </c>
      <c r="L116" s="1">
        <v>0.47</v>
      </c>
      <c r="M116" s="1">
        <v>0.08</v>
      </c>
      <c r="N116" s="3">
        <v>5.5174680691209597</v>
      </c>
      <c r="O116" s="3">
        <v>17</v>
      </c>
    </row>
    <row r="117" spans="1:15" x14ac:dyDescent="0.25">
      <c r="A117" s="1" t="s">
        <v>352</v>
      </c>
      <c r="B117" s="1" t="s">
        <v>152</v>
      </c>
      <c r="C117" s="1" t="s">
        <v>138</v>
      </c>
      <c r="D117" s="1" t="s">
        <v>63</v>
      </c>
      <c r="E117" s="1">
        <v>3</v>
      </c>
      <c r="F117" s="1" t="s">
        <v>366</v>
      </c>
      <c r="G117" s="4">
        <v>44498</v>
      </c>
      <c r="H117" s="1">
        <v>43</v>
      </c>
      <c r="I117" s="1">
        <v>19</v>
      </c>
      <c r="J117" s="3">
        <v>15</v>
      </c>
      <c r="K117" s="3">
        <v>16</v>
      </c>
      <c r="L117" s="1">
        <v>0.39</v>
      </c>
      <c r="M117" s="1">
        <v>0.12</v>
      </c>
      <c r="N117" s="3">
        <v>4.9052284704491438</v>
      </c>
      <c r="O117" s="3">
        <v>31</v>
      </c>
    </row>
    <row r="118" spans="1:15" x14ac:dyDescent="0.25">
      <c r="A118" s="1" t="s">
        <v>353</v>
      </c>
      <c r="B118" s="1" t="s">
        <v>152</v>
      </c>
      <c r="C118" s="1" t="s">
        <v>138</v>
      </c>
      <c r="D118" s="1" t="s">
        <v>63</v>
      </c>
      <c r="E118" s="1">
        <v>3</v>
      </c>
      <c r="F118" s="1" t="s">
        <v>366</v>
      </c>
      <c r="G118" s="4">
        <v>44498</v>
      </c>
      <c r="H118" s="1">
        <v>64</v>
      </c>
      <c r="I118" s="1">
        <v>28</v>
      </c>
      <c r="J118" s="3">
        <v>20</v>
      </c>
      <c r="K118" s="3">
        <v>48</v>
      </c>
      <c r="L118" s="1">
        <v>2.21</v>
      </c>
      <c r="M118" s="1">
        <v>0.56999999999999995</v>
      </c>
      <c r="N118" s="3">
        <v>8.4304809570312482</v>
      </c>
      <c r="O118" s="3">
        <v>26</v>
      </c>
    </row>
    <row r="119" spans="1:15" x14ac:dyDescent="0.25">
      <c r="A119" s="1" t="s">
        <v>354</v>
      </c>
      <c r="B119" s="1" t="s">
        <v>152</v>
      </c>
      <c r="C119" s="1" t="s">
        <v>138</v>
      </c>
      <c r="D119" s="1" t="s">
        <v>63</v>
      </c>
      <c r="E119" s="1">
        <v>3</v>
      </c>
      <c r="F119" s="1" t="s">
        <v>366</v>
      </c>
      <c r="G119" s="4">
        <v>44498</v>
      </c>
      <c r="H119" s="1">
        <v>67</v>
      </c>
      <c r="I119" s="1">
        <v>27</v>
      </c>
      <c r="J119" s="3">
        <v>20</v>
      </c>
      <c r="K119" s="3">
        <v>48</v>
      </c>
      <c r="L119" s="1">
        <v>2.39</v>
      </c>
      <c r="M119" s="1">
        <v>0.88</v>
      </c>
      <c r="N119" s="3">
        <v>7.9464561797827526</v>
      </c>
      <c r="O119" s="3">
        <v>37</v>
      </c>
    </row>
    <row r="120" spans="1:15" x14ac:dyDescent="0.25">
      <c r="A120" s="1" t="s">
        <v>355</v>
      </c>
      <c r="B120" s="1" t="s">
        <v>152</v>
      </c>
      <c r="C120" s="1" t="s">
        <v>138</v>
      </c>
      <c r="D120" s="1" t="s">
        <v>63</v>
      </c>
      <c r="E120" s="1">
        <v>3</v>
      </c>
      <c r="F120" s="1" t="s">
        <v>366</v>
      </c>
      <c r="G120" s="4">
        <v>44498</v>
      </c>
      <c r="H120" s="1">
        <v>65</v>
      </c>
      <c r="I120" s="1">
        <v>30</v>
      </c>
      <c r="J120" s="3">
        <v>21</v>
      </c>
      <c r="K120" s="3">
        <v>55</v>
      </c>
      <c r="L120" s="1">
        <v>2.71</v>
      </c>
      <c r="M120" s="1">
        <v>0.95</v>
      </c>
      <c r="N120" s="3">
        <v>9.8680018206645421</v>
      </c>
      <c r="O120" s="3">
        <v>35</v>
      </c>
    </row>
    <row r="121" spans="1:15" x14ac:dyDescent="0.25">
      <c r="A121" s="1" t="s">
        <v>356</v>
      </c>
      <c r="B121" s="1" t="s">
        <v>152</v>
      </c>
      <c r="C121" s="1" t="s">
        <v>138</v>
      </c>
      <c r="D121" s="1" t="s">
        <v>63</v>
      </c>
      <c r="E121" s="1">
        <v>3</v>
      </c>
      <c r="F121" s="1" t="s">
        <v>366</v>
      </c>
      <c r="G121" s="4">
        <v>44498</v>
      </c>
      <c r="H121" s="1">
        <v>43</v>
      </c>
      <c r="I121" s="1">
        <v>20</v>
      </c>
      <c r="J121" s="3">
        <v>16</v>
      </c>
      <c r="K121" s="3">
        <v>18</v>
      </c>
      <c r="L121" s="1">
        <v>0.39</v>
      </c>
      <c r="M121" s="1">
        <v>0.08</v>
      </c>
      <c r="N121" s="3">
        <v>4.9052284704491438</v>
      </c>
      <c r="O121" s="3">
        <v>21</v>
      </c>
    </row>
  </sheetData>
  <sortState xmlns:xlrd2="http://schemas.microsoft.com/office/spreadsheetml/2017/richdata2" ref="A2:O91">
    <sortCondition ref="B2:B91"/>
    <sortCondition ref="D2:D9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4902-66B8-4984-B038-2F3872019D21}">
  <dimension ref="A1:F101"/>
  <sheetViews>
    <sheetView workbookViewId="0">
      <selection activeCell="J8" sqref="J8"/>
    </sheetView>
  </sheetViews>
  <sheetFormatPr defaultRowHeight="15" x14ac:dyDescent="0.25"/>
  <cols>
    <col min="5" max="5" width="16.140625" bestFit="1" customWidth="1"/>
  </cols>
  <sheetData>
    <row r="1" spans="1:6" x14ac:dyDescent="0.25">
      <c r="A1" t="s">
        <v>174</v>
      </c>
      <c r="B1" t="s">
        <v>288</v>
      </c>
      <c r="C1" t="s">
        <v>150</v>
      </c>
      <c r="D1" t="s">
        <v>28</v>
      </c>
      <c r="E1" t="s">
        <v>173</v>
      </c>
      <c r="F1" t="s">
        <v>289</v>
      </c>
    </row>
    <row r="2" spans="1:6" x14ac:dyDescent="0.25">
      <c r="A2" t="s">
        <v>79</v>
      </c>
      <c r="B2" t="s">
        <v>286</v>
      </c>
      <c r="C2" t="s">
        <v>151</v>
      </c>
      <c r="D2" t="s">
        <v>31</v>
      </c>
      <c r="E2" t="str">
        <f>B2&amp;"-"&amp;C2&amp;"-"&amp;D2</f>
        <v>before-gallo-OA</v>
      </c>
      <c r="F2">
        <v>7</v>
      </c>
    </row>
    <row r="3" spans="1:6" x14ac:dyDescent="0.25">
      <c r="A3" t="s">
        <v>79</v>
      </c>
      <c r="B3" t="s">
        <v>287</v>
      </c>
      <c r="C3" t="s">
        <v>151</v>
      </c>
      <c r="D3" t="s">
        <v>31</v>
      </c>
      <c r="E3" t="str">
        <f>B3&amp;"-"&amp;C3&amp;"-"&amp;D3</f>
        <v>after-gallo-OA</v>
      </c>
      <c r="F3">
        <v>15</v>
      </c>
    </row>
    <row r="4" spans="1:6" x14ac:dyDescent="0.25">
      <c r="A4" t="s">
        <v>80</v>
      </c>
      <c r="B4" t="s">
        <v>286</v>
      </c>
      <c r="C4" t="s">
        <v>151</v>
      </c>
      <c r="D4" t="s">
        <v>31</v>
      </c>
      <c r="E4" t="str">
        <f>B4&amp;"-"&amp;C4&amp;"-"&amp;D4</f>
        <v>before-gallo-OA</v>
      </c>
      <c r="F4">
        <v>8</v>
      </c>
    </row>
    <row r="5" spans="1:6" x14ac:dyDescent="0.25">
      <c r="A5" t="s">
        <v>80</v>
      </c>
      <c r="B5" t="s">
        <v>287</v>
      </c>
      <c r="C5" t="s">
        <v>151</v>
      </c>
      <c r="D5" t="s">
        <v>31</v>
      </c>
      <c r="E5" t="str">
        <f>B5&amp;"-"&amp;C5&amp;"-"&amp;D5</f>
        <v>after-gallo-OA</v>
      </c>
      <c r="F5">
        <v>25</v>
      </c>
    </row>
    <row r="6" spans="1:6" x14ac:dyDescent="0.25">
      <c r="A6" t="s">
        <v>81</v>
      </c>
      <c r="B6" t="s">
        <v>286</v>
      </c>
      <c r="C6" t="s">
        <v>151</v>
      </c>
      <c r="D6" t="s">
        <v>31</v>
      </c>
      <c r="E6" t="str">
        <f>B6&amp;"-"&amp;C6&amp;"-"&amp;D6</f>
        <v>before-gallo-OA</v>
      </c>
      <c r="F6">
        <v>15</v>
      </c>
    </row>
    <row r="7" spans="1:6" x14ac:dyDescent="0.25">
      <c r="A7" t="s">
        <v>81</v>
      </c>
      <c r="B7" t="s">
        <v>287</v>
      </c>
      <c r="C7" t="s">
        <v>151</v>
      </c>
      <c r="D7" t="s">
        <v>31</v>
      </c>
      <c r="E7" t="str">
        <f>B7&amp;"-"&amp;C7&amp;"-"&amp;D7</f>
        <v>after-gallo-OA</v>
      </c>
      <c r="F7">
        <v>14</v>
      </c>
    </row>
    <row r="8" spans="1:6" x14ac:dyDescent="0.25">
      <c r="A8" t="s">
        <v>82</v>
      </c>
      <c r="B8" t="s">
        <v>286</v>
      </c>
      <c r="C8" t="s">
        <v>151</v>
      </c>
      <c r="D8" t="s">
        <v>31</v>
      </c>
      <c r="E8" t="str">
        <f>B8&amp;"-"&amp;C8&amp;"-"&amp;D8</f>
        <v>before-gallo-OA</v>
      </c>
      <c r="F8">
        <v>12</v>
      </c>
    </row>
    <row r="9" spans="1:6" x14ac:dyDescent="0.25">
      <c r="A9" t="s">
        <v>82</v>
      </c>
      <c r="B9" t="s">
        <v>287</v>
      </c>
      <c r="C9" t="s">
        <v>151</v>
      </c>
      <c r="D9" t="s">
        <v>31</v>
      </c>
      <c r="E9" t="str">
        <f>B9&amp;"-"&amp;C9&amp;"-"&amp;D9</f>
        <v>after-gallo-OA</v>
      </c>
      <c r="F9">
        <v>10</v>
      </c>
    </row>
    <row r="10" spans="1:6" x14ac:dyDescent="0.25">
      <c r="A10" t="s">
        <v>83</v>
      </c>
      <c r="B10" t="s">
        <v>286</v>
      </c>
      <c r="C10" t="s">
        <v>151</v>
      </c>
      <c r="D10" t="s">
        <v>31</v>
      </c>
      <c r="E10" t="str">
        <f>B10&amp;"-"&amp;C10&amp;"-"&amp;D10</f>
        <v>before-gallo-OA</v>
      </c>
      <c r="F10">
        <v>14</v>
      </c>
    </row>
    <row r="11" spans="1:6" x14ac:dyDescent="0.25">
      <c r="A11" t="s">
        <v>83</v>
      </c>
      <c r="B11" t="s">
        <v>287</v>
      </c>
      <c r="C11" t="s">
        <v>151</v>
      </c>
      <c r="D11" t="s">
        <v>31</v>
      </c>
      <c r="E11" t="str">
        <f>B11&amp;"-"&amp;C11&amp;"-"&amp;D11</f>
        <v>after-gallo-OA</v>
      </c>
      <c r="F11">
        <v>26</v>
      </c>
    </row>
    <row r="12" spans="1:6" x14ac:dyDescent="0.25">
      <c r="A12" t="s">
        <v>84</v>
      </c>
      <c r="B12" t="s">
        <v>286</v>
      </c>
      <c r="C12" t="s">
        <v>151</v>
      </c>
      <c r="D12" t="s">
        <v>31</v>
      </c>
      <c r="E12" t="str">
        <f>B12&amp;"-"&amp;C12&amp;"-"&amp;D12</f>
        <v>before-gallo-OA</v>
      </c>
      <c r="F12">
        <v>8</v>
      </c>
    </row>
    <row r="13" spans="1:6" x14ac:dyDescent="0.25">
      <c r="A13" t="s">
        <v>84</v>
      </c>
      <c r="B13" t="s">
        <v>287</v>
      </c>
      <c r="C13" t="s">
        <v>151</v>
      </c>
      <c r="D13" t="s">
        <v>31</v>
      </c>
      <c r="E13" t="str">
        <f>B13&amp;"-"&amp;C13&amp;"-"&amp;D13</f>
        <v>after-gallo-OA</v>
      </c>
      <c r="F13">
        <v>15</v>
      </c>
    </row>
    <row r="14" spans="1:6" x14ac:dyDescent="0.25">
      <c r="A14" t="s">
        <v>87</v>
      </c>
      <c r="B14" t="s">
        <v>286</v>
      </c>
      <c r="C14" t="s">
        <v>151</v>
      </c>
      <c r="D14" t="s">
        <v>47</v>
      </c>
      <c r="E14" t="str">
        <f>B14&amp;"-"&amp;C14&amp;"-"&amp;D14</f>
        <v>before-gallo-OW</v>
      </c>
      <c r="F14">
        <v>7</v>
      </c>
    </row>
    <row r="15" spans="1:6" x14ac:dyDescent="0.25">
      <c r="A15" t="s">
        <v>87</v>
      </c>
      <c r="B15" t="s">
        <v>287</v>
      </c>
      <c r="C15" t="s">
        <v>151</v>
      </c>
      <c r="D15" t="s">
        <v>47</v>
      </c>
      <c r="E15" t="str">
        <f>B15&amp;"-"&amp;C15&amp;"-"&amp;D15</f>
        <v>after-gallo-OW</v>
      </c>
      <c r="F15">
        <v>24</v>
      </c>
    </row>
    <row r="16" spans="1:6" x14ac:dyDescent="0.25">
      <c r="A16" t="s">
        <v>292</v>
      </c>
      <c r="B16" t="s">
        <v>286</v>
      </c>
      <c r="C16" t="s">
        <v>151</v>
      </c>
      <c r="D16" t="s">
        <v>47</v>
      </c>
      <c r="E16" t="str">
        <f>B16&amp;"-"&amp;C16&amp;"-"&amp;D16</f>
        <v>before-gallo-OW</v>
      </c>
      <c r="F16">
        <v>11</v>
      </c>
    </row>
    <row r="17" spans="1:6" x14ac:dyDescent="0.25">
      <c r="A17" t="s">
        <v>292</v>
      </c>
      <c r="B17" t="s">
        <v>287</v>
      </c>
      <c r="C17" t="s">
        <v>151</v>
      </c>
      <c r="D17" t="s">
        <v>47</v>
      </c>
      <c r="E17" t="str">
        <f>B17&amp;"-"&amp;C17&amp;"-"&amp;D17</f>
        <v>after-gallo-OW</v>
      </c>
      <c r="F17">
        <v>22</v>
      </c>
    </row>
    <row r="18" spans="1:6" x14ac:dyDescent="0.25">
      <c r="A18" t="s">
        <v>291</v>
      </c>
      <c r="B18" t="s">
        <v>286</v>
      </c>
      <c r="C18" t="s">
        <v>151</v>
      </c>
      <c r="D18" t="s">
        <v>47</v>
      </c>
      <c r="E18" t="str">
        <f>B18&amp;"-"&amp;C18&amp;"-"&amp;D18</f>
        <v>before-gallo-OW</v>
      </c>
      <c r="F18">
        <v>12</v>
      </c>
    </row>
    <row r="19" spans="1:6" x14ac:dyDescent="0.25">
      <c r="A19" t="s">
        <v>291</v>
      </c>
      <c r="B19" t="s">
        <v>287</v>
      </c>
      <c r="C19" t="s">
        <v>151</v>
      </c>
      <c r="D19" t="s">
        <v>47</v>
      </c>
      <c r="E19" t="str">
        <f>B19&amp;"-"&amp;C19&amp;"-"&amp;D19</f>
        <v>after-gallo-OW</v>
      </c>
      <c r="F19">
        <v>20</v>
      </c>
    </row>
    <row r="20" spans="1:6" x14ac:dyDescent="0.25">
      <c r="A20" t="s">
        <v>90</v>
      </c>
      <c r="B20" t="s">
        <v>286</v>
      </c>
      <c r="C20" t="s">
        <v>151</v>
      </c>
      <c r="D20" t="s">
        <v>47</v>
      </c>
      <c r="E20" t="str">
        <f>B20&amp;"-"&amp;C20&amp;"-"&amp;D20</f>
        <v>before-gallo-OW</v>
      </c>
      <c r="F20">
        <v>8</v>
      </c>
    </row>
    <row r="21" spans="1:6" x14ac:dyDescent="0.25">
      <c r="A21" t="s">
        <v>90</v>
      </c>
      <c r="B21" t="s">
        <v>287</v>
      </c>
      <c r="C21" t="s">
        <v>151</v>
      </c>
      <c r="D21" t="s">
        <v>47</v>
      </c>
      <c r="E21" t="str">
        <f>B21&amp;"-"&amp;C21&amp;"-"&amp;D21</f>
        <v>after-gallo-OW</v>
      </c>
      <c r="F21">
        <v>16</v>
      </c>
    </row>
    <row r="22" spans="1:6" x14ac:dyDescent="0.25">
      <c r="A22" t="s">
        <v>293</v>
      </c>
      <c r="B22" t="s">
        <v>286</v>
      </c>
      <c r="C22" t="s">
        <v>151</v>
      </c>
      <c r="D22" t="s">
        <v>47</v>
      </c>
      <c r="E22" t="str">
        <f>B22&amp;"-"&amp;C22&amp;"-"&amp;D22</f>
        <v>before-gallo-OW</v>
      </c>
      <c r="F22">
        <v>16</v>
      </c>
    </row>
    <row r="23" spans="1:6" x14ac:dyDescent="0.25">
      <c r="A23" t="s">
        <v>293</v>
      </c>
      <c r="B23" t="s">
        <v>287</v>
      </c>
      <c r="C23" t="s">
        <v>151</v>
      </c>
      <c r="D23" t="s">
        <v>47</v>
      </c>
      <c r="E23" t="str">
        <f>B23&amp;"-"&amp;C23&amp;"-"&amp;D23</f>
        <v>after-gallo-OW</v>
      </c>
      <c r="F23">
        <v>12</v>
      </c>
    </row>
    <row r="24" spans="1:6" x14ac:dyDescent="0.25">
      <c r="A24" t="s">
        <v>290</v>
      </c>
      <c r="B24" t="s">
        <v>286</v>
      </c>
      <c r="C24" t="s">
        <v>151</v>
      </c>
      <c r="D24" t="s">
        <v>47</v>
      </c>
      <c r="E24" t="str">
        <f>B24&amp;"-"&amp;C24&amp;"-"&amp;D24</f>
        <v>before-gallo-OW</v>
      </c>
      <c r="F24">
        <v>8</v>
      </c>
    </row>
    <row r="25" spans="1:6" x14ac:dyDescent="0.25">
      <c r="A25" t="s">
        <v>290</v>
      </c>
      <c r="B25" t="s">
        <v>287</v>
      </c>
      <c r="C25" t="s">
        <v>151</v>
      </c>
      <c r="D25" t="s">
        <v>47</v>
      </c>
      <c r="E25" t="str">
        <f>B25&amp;"-"&amp;C25&amp;"-"&amp;D25</f>
        <v>after-gallo-OW</v>
      </c>
      <c r="F25">
        <v>11</v>
      </c>
    </row>
    <row r="26" spans="1:6" x14ac:dyDescent="0.25">
      <c r="A26" t="s">
        <v>91</v>
      </c>
      <c r="B26" t="s">
        <v>286</v>
      </c>
      <c r="C26" t="s">
        <v>151</v>
      </c>
      <c r="D26" t="s">
        <v>47</v>
      </c>
      <c r="E26" t="str">
        <f>B26&amp;"-"&amp;C26&amp;"-"&amp;D26</f>
        <v>before-gallo-OW</v>
      </c>
      <c r="F26">
        <v>6</v>
      </c>
    </row>
    <row r="27" spans="1:6" x14ac:dyDescent="0.25">
      <c r="A27" t="s">
        <v>91</v>
      </c>
      <c r="B27" t="s">
        <v>287</v>
      </c>
      <c r="C27" t="s">
        <v>151</v>
      </c>
      <c r="D27" t="s">
        <v>47</v>
      </c>
      <c r="E27" t="str">
        <f>B27&amp;"-"&amp;C27&amp;"-"&amp;D27</f>
        <v>after-gallo-OW</v>
      </c>
      <c r="F27">
        <v>14</v>
      </c>
    </row>
    <row r="28" spans="1:6" x14ac:dyDescent="0.25">
      <c r="A28" t="s">
        <v>294</v>
      </c>
      <c r="B28" t="s">
        <v>286</v>
      </c>
      <c r="C28" t="s">
        <v>151</v>
      </c>
      <c r="D28" t="s">
        <v>47</v>
      </c>
      <c r="E28" t="str">
        <f>B28&amp;"-"&amp;C28&amp;"-"&amp;D28</f>
        <v>before-gallo-OW</v>
      </c>
      <c r="F28">
        <v>7</v>
      </c>
    </row>
    <row r="29" spans="1:6" x14ac:dyDescent="0.25">
      <c r="A29" t="s">
        <v>294</v>
      </c>
      <c r="B29" t="s">
        <v>287</v>
      </c>
      <c r="C29" t="s">
        <v>151</v>
      </c>
      <c r="D29" t="s">
        <v>47</v>
      </c>
      <c r="E29" t="str">
        <f>B29&amp;"-"&amp;C29&amp;"-"&amp;D29</f>
        <v>after-gallo-OW</v>
      </c>
      <c r="F29">
        <v>14</v>
      </c>
    </row>
    <row r="30" spans="1:6" x14ac:dyDescent="0.25">
      <c r="A30" t="s">
        <v>92</v>
      </c>
      <c r="B30" t="s">
        <v>286</v>
      </c>
      <c r="C30" t="s">
        <v>151</v>
      </c>
      <c r="D30" t="s">
        <v>47</v>
      </c>
      <c r="E30" t="str">
        <f>B30&amp;"-"&amp;C30&amp;"-"&amp;D30</f>
        <v>before-gallo-OW</v>
      </c>
      <c r="F30">
        <v>11</v>
      </c>
    </row>
    <row r="31" spans="1:6" x14ac:dyDescent="0.25">
      <c r="A31" t="s">
        <v>92</v>
      </c>
      <c r="B31" t="s">
        <v>287</v>
      </c>
      <c r="C31" t="s">
        <v>151</v>
      </c>
      <c r="D31" t="s">
        <v>47</v>
      </c>
      <c r="E31" t="str">
        <f>B31&amp;"-"&amp;C31&amp;"-"&amp;D31</f>
        <v>after-gallo-OW</v>
      </c>
      <c r="F31">
        <v>22</v>
      </c>
    </row>
    <row r="32" spans="1:6" x14ac:dyDescent="0.25">
      <c r="A32" t="s">
        <v>295</v>
      </c>
      <c r="B32" t="s">
        <v>286</v>
      </c>
      <c r="C32" t="s">
        <v>151</v>
      </c>
      <c r="D32" t="s">
        <v>47</v>
      </c>
      <c r="E32" t="str">
        <f>B32&amp;"-"&amp;C32&amp;"-"&amp;D32</f>
        <v>before-gallo-OW</v>
      </c>
      <c r="F32">
        <v>2</v>
      </c>
    </row>
    <row r="33" spans="1:6" x14ac:dyDescent="0.25">
      <c r="A33" t="s">
        <v>295</v>
      </c>
      <c r="B33" t="s">
        <v>287</v>
      </c>
      <c r="C33" t="s">
        <v>151</v>
      </c>
      <c r="D33" t="s">
        <v>47</v>
      </c>
      <c r="E33" t="str">
        <f>B33&amp;"-"&amp;C33&amp;"-"&amp;D33</f>
        <v>after-gallo-OW</v>
      </c>
      <c r="F33">
        <v>9</v>
      </c>
    </row>
    <row r="34" spans="1:6" x14ac:dyDescent="0.25">
      <c r="A34" t="s">
        <v>296</v>
      </c>
      <c r="B34" t="s">
        <v>286</v>
      </c>
      <c r="C34" t="s">
        <v>151</v>
      </c>
      <c r="D34" t="s">
        <v>47</v>
      </c>
      <c r="E34" t="str">
        <f>B34&amp;"-"&amp;C34&amp;"-"&amp;D34</f>
        <v>before-gallo-OW</v>
      </c>
      <c r="F34">
        <v>6</v>
      </c>
    </row>
    <row r="35" spans="1:6" x14ac:dyDescent="0.25">
      <c r="A35" t="s">
        <v>296</v>
      </c>
      <c r="B35" t="s">
        <v>287</v>
      </c>
      <c r="C35" t="s">
        <v>151</v>
      </c>
      <c r="D35" t="s">
        <v>47</v>
      </c>
      <c r="E35" t="str">
        <f>B35&amp;"-"&amp;C35&amp;"-"&amp;D35</f>
        <v>after-gallo-OW</v>
      </c>
      <c r="F35">
        <v>8</v>
      </c>
    </row>
    <row r="36" spans="1:6" x14ac:dyDescent="0.25">
      <c r="A36" t="s">
        <v>93</v>
      </c>
      <c r="B36" t="s">
        <v>286</v>
      </c>
      <c r="C36" t="s">
        <v>151</v>
      </c>
      <c r="D36" t="s">
        <v>47</v>
      </c>
      <c r="E36" t="str">
        <f>B36&amp;"-"&amp;C36&amp;"-"&amp;D36</f>
        <v>before-gallo-OW</v>
      </c>
      <c r="F36">
        <v>4</v>
      </c>
    </row>
    <row r="37" spans="1:6" x14ac:dyDescent="0.25">
      <c r="A37" t="s">
        <v>93</v>
      </c>
      <c r="B37" t="s">
        <v>287</v>
      </c>
      <c r="C37" t="s">
        <v>151</v>
      </c>
      <c r="D37" t="s">
        <v>47</v>
      </c>
      <c r="E37" t="str">
        <f>B37&amp;"-"&amp;C37&amp;"-"&amp;D37</f>
        <v>after-gallo-OW</v>
      </c>
      <c r="F37">
        <v>8</v>
      </c>
    </row>
    <row r="38" spans="1:6" x14ac:dyDescent="0.25">
      <c r="A38" t="s">
        <v>32</v>
      </c>
      <c r="B38" t="s">
        <v>286</v>
      </c>
      <c r="C38" t="s">
        <v>152</v>
      </c>
      <c r="D38" t="s">
        <v>31</v>
      </c>
      <c r="E38" t="str">
        <f>B38&amp;"-"&amp;C38&amp;"-"&amp;D38</f>
        <v>before-tross-OA</v>
      </c>
      <c r="F38">
        <v>9</v>
      </c>
    </row>
    <row r="39" spans="1:6" x14ac:dyDescent="0.25">
      <c r="A39" t="s">
        <v>32</v>
      </c>
      <c r="B39" t="s">
        <v>287</v>
      </c>
      <c r="C39" t="s">
        <v>152</v>
      </c>
      <c r="D39" t="s">
        <v>31</v>
      </c>
      <c r="E39" t="str">
        <f>B39&amp;"-"&amp;C39&amp;"-"&amp;D39</f>
        <v>after-tross-OA</v>
      </c>
      <c r="F39">
        <v>8</v>
      </c>
    </row>
    <row r="40" spans="1:6" x14ac:dyDescent="0.25">
      <c r="A40" t="s">
        <v>33</v>
      </c>
      <c r="B40" t="s">
        <v>286</v>
      </c>
      <c r="C40" t="s">
        <v>152</v>
      </c>
      <c r="D40" t="s">
        <v>31</v>
      </c>
      <c r="E40" t="str">
        <f>B40&amp;"-"&amp;C40&amp;"-"&amp;D40</f>
        <v>before-tross-OA</v>
      </c>
      <c r="F40">
        <v>10</v>
      </c>
    </row>
    <row r="41" spans="1:6" x14ac:dyDescent="0.25">
      <c r="A41" t="s">
        <v>33</v>
      </c>
      <c r="B41" t="s">
        <v>287</v>
      </c>
      <c r="C41" t="s">
        <v>152</v>
      </c>
      <c r="D41" t="s">
        <v>31</v>
      </c>
      <c r="E41" t="str">
        <f>B41&amp;"-"&amp;C41&amp;"-"&amp;D41</f>
        <v>after-tross-OA</v>
      </c>
      <c r="F41">
        <v>12</v>
      </c>
    </row>
    <row r="42" spans="1:6" x14ac:dyDescent="0.25">
      <c r="A42" t="s">
        <v>34</v>
      </c>
      <c r="B42" t="s">
        <v>286</v>
      </c>
      <c r="C42" t="s">
        <v>152</v>
      </c>
      <c r="D42" t="s">
        <v>31</v>
      </c>
      <c r="E42" t="str">
        <f>B42&amp;"-"&amp;C42&amp;"-"&amp;D42</f>
        <v>before-tross-OA</v>
      </c>
      <c r="F42">
        <v>8</v>
      </c>
    </row>
    <row r="43" spans="1:6" x14ac:dyDescent="0.25">
      <c r="A43" t="s">
        <v>34</v>
      </c>
      <c r="B43" t="s">
        <v>287</v>
      </c>
      <c r="C43" t="s">
        <v>152</v>
      </c>
      <c r="D43" t="s">
        <v>31</v>
      </c>
      <c r="E43" t="str">
        <f>B43&amp;"-"&amp;C43&amp;"-"&amp;D43</f>
        <v>after-tross-OA</v>
      </c>
      <c r="F43">
        <v>26</v>
      </c>
    </row>
    <row r="44" spans="1:6" x14ac:dyDescent="0.25">
      <c r="A44" t="s">
        <v>35</v>
      </c>
      <c r="B44" t="s">
        <v>286</v>
      </c>
      <c r="C44" t="s">
        <v>152</v>
      </c>
      <c r="D44" t="s">
        <v>31</v>
      </c>
      <c r="E44" t="str">
        <f>B44&amp;"-"&amp;C44&amp;"-"&amp;D44</f>
        <v>before-tross-OA</v>
      </c>
      <c r="F44">
        <v>13</v>
      </c>
    </row>
    <row r="45" spans="1:6" x14ac:dyDescent="0.25">
      <c r="A45" t="s">
        <v>35</v>
      </c>
      <c r="B45" t="s">
        <v>287</v>
      </c>
      <c r="C45" t="s">
        <v>152</v>
      </c>
      <c r="D45" t="s">
        <v>31</v>
      </c>
      <c r="E45" t="str">
        <f>B45&amp;"-"&amp;C45&amp;"-"&amp;D45</f>
        <v>after-tross-OA</v>
      </c>
      <c r="F45">
        <v>19</v>
      </c>
    </row>
    <row r="46" spans="1:6" x14ac:dyDescent="0.25">
      <c r="A46" t="s">
        <v>37</v>
      </c>
      <c r="B46" t="s">
        <v>286</v>
      </c>
      <c r="C46" t="s">
        <v>152</v>
      </c>
      <c r="D46" t="s">
        <v>31</v>
      </c>
      <c r="E46" t="str">
        <f>B46&amp;"-"&amp;C46&amp;"-"&amp;D46</f>
        <v>before-tross-OA</v>
      </c>
      <c r="F46">
        <v>7</v>
      </c>
    </row>
    <row r="47" spans="1:6" x14ac:dyDescent="0.25">
      <c r="A47" t="s">
        <v>37</v>
      </c>
      <c r="B47" t="s">
        <v>287</v>
      </c>
      <c r="C47" t="s">
        <v>152</v>
      </c>
      <c r="D47" t="s">
        <v>31</v>
      </c>
      <c r="E47" t="str">
        <f>B47&amp;"-"&amp;C47&amp;"-"&amp;D47</f>
        <v>after-tross-OA</v>
      </c>
      <c r="F47">
        <v>7</v>
      </c>
    </row>
    <row r="48" spans="1:6" x14ac:dyDescent="0.25">
      <c r="A48" t="s">
        <v>39</v>
      </c>
      <c r="B48" t="s">
        <v>286</v>
      </c>
      <c r="C48" t="s">
        <v>152</v>
      </c>
      <c r="D48" t="s">
        <v>31</v>
      </c>
      <c r="E48" t="str">
        <f>B48&amp;"-"&amp;C48&amp;"-"&amp;D48</f>
        <v>before-tross-OA</v>
      </c>
      <c r="F48">
        <v>15</v>
      </c>
    </row>
    <row r="49" spans="1:6" x14ac:dyDescent="0.25">
      <c r="A49" t="s">
        <v>39</v>
      </c>
      <c r="B49" t="s">
        <v>287</v>
      </c>
      <c r="C49" t="s">
        <v>152</v>
      </c>
      <c r="D49" t="s">
        <v>31</v>
      </c>
      <c r="E49" t="str">
        <f>B49&amp;"-"&amp;C49&amp;"-"&amp;D49</f>
        <v>after-tross-OA</v>
      </c>
      <c r="F49">
        <v>9</v>
      </c>
    </row>
    <row r="50" spans="1:6" x14ac:dyDescent="0.25">
      <c r="A50" t="s">
        <v>41</v>
      </c>
      <c r="B50" t="s">
        <v>286</v>
      </c>
      <c r="C50" t="s">
        <v>152</v>
      </c>
      <c r="D50" t="s">
        <v>31</v>
      </c>
      <c r="E50" t="str">
        <f>B50&amp;"-"&amp;C50&amp;"-"&amp;D50</f>
        <v>before-tross-OA</v>
      </c>
      <c r="F50">
        <v>6</v>
      </c>
    </row>
    <row r="51" spans="1:6" x14ac:dyDescent="0.25">
      <c r="A51" t="s">
        <v>41</v>
      </c>
      <c r="B51" t="s">
        <v>287</v>
      </c>
      <c r="C51" t="s">
        <v>152</v>
      </c>
      <c r="D51" t="s">
        <v>31</v>
      </c>
      <c r="E51" t="str">
        <f>B51&amp;"-"&amp;C51&amp;"-"&amp;D51</f>
        <v>after-tross-OA</v>
      </c>
      <c r="F51">
        <v>14</v>
      </c>
    </row>
    <row r="52" spans="1:6" x14ac:dyDescent="0.25">
      <c r="A52" t="s">
        <v>43</v>
      </c>
      <c r="B52" t="s">
        <v>286</v>
      </c>
      <c r="C52" t="s">
        <v>152</v>
      </c>
      <c r="D52" t="s">
        <v>31</v>
      </c>
      <c r="E52" t="str">
        <f>B52&amp;"-"&amp;C52&amp;"-"&amp;D52</f>
        <v>before-tross-OA</v>
      </c>
      <c r="F52">
        <v>19</v>
      </c>
    </row>
    <row r="53" spans="1:6" x14ac:dyDescent="0.25">
      <c r="A53" t="s">
        <v>43</v>
      </c>
      <c r="B53" t="s">
        <v>287</v>
      </c>
      <c r="C53" t="s">
        <v>152</v>
      </c>
      <c r="D53" t="s">
        <v>31</v>
      </c>
      <c r="E53" t="str">
        <f>B53&amp;"-"&amp;C53&amp;"-"&amp;D53</f>
        <v>after-tross-OA</v>
      </c>
      <c r="F53">
        <v>15</v>
      </c>
    </row>
    <row r="54" spans="1:6" x14ac:dyDescent="0.25">
      <c r="A54" t="s">
        <v>44</v>
      </c>
      <c r="B54" t="s">
        <v>286</v>
      </c>
      <c r="C54" t="s">
        <v>152</v>
      </c>
      <c r="D54" t="s">
        <v>31</v>
      </c>
      <c r="E54" t="str">
        <f>B54&amp;"-"&amp;C54&amp;"-"&amp;D54</f>
        <v>before-tross-OA</v>
      </c>
      <c r="F54">
        <v>15</v>
      </c>
    </row>
    <row r="55" spans="1:6" x14ac:dyDescent="0.25">
      <c r="A55" t="s">
        <v>44</v>
      </c>
      <c r="B55" t="s">
        <v>287</v>
      </c>
      <c r="C55" t="s">
        <v>152</v>
      </c>
      <c r="D55" t="s">
        <v>31</v>
      </c>
      <c r="E55" t="str">
        <f>B55&amp;"-"&amp;C55&amp;"-"&amp;D55</f>
        <v>after-tross-OA</v>
      </c>
      <c r="F55">
        <v>15</v>
      </c>
    </row>
    <row r="56" spans="1:6" x14ac:dyDescent="0.25">
      <c r="A56" t="s">
        <v>45</v>
      </c>
      <c r="B56" t="s">
        <v>286</v>
      </c>
      <c r="C56" t="s">
        <v>152</v>
      </c>
      <c r="D56" t="s">
        <v>31</v>
      </c>
      <c r="E56" t="str">
        <f>B56&amp;"-"&amp;C56&amp;"-"&amp;D56</f>
        <v>before-tross-OA</v>
      </c>
      <c r="F56">
        <v>12</v>
      </c>
    </row>
    <row r="57" spans="1:6" x14ac:dyDescent="0.25">
      <c r="A57" t="s">
        <v>45</v>
      </c>
      <c r="B57" t="s">
        <v>287</v>
      </c>
      <c r="C57" t="s">
        <v>152</v>
      </c>
      <c r="D57" t="s">
        <v>31</v>
      </c>
      <c r="E57" t="str">
        <f>B57&amp;"-"&amp;C57&amp;"-"&amp;D57</f>
        <v>after-tross-OA</v>
      </c>
      <c r="F57">
        <v>30</v>
      </c>
    </row>
    <row r="58" spans="1:6" x14ac:dyDescent="0.25">
      <c r="A58" t="s">
        <v>48</v>
      </c>
      <c r="B58" t="s">
        <v>286</v>
      </c>
      <c r="C58" t="s">
        <v>152</v>
      </c>
      <c r="D58" t="s">
        <v>47</v>
      </c>
      <c r="E58" t="str">
        <f>B58&amp;"-"&amp;C58&amp;"-"&amp;D58</f>
        <v>before-tross-OW</v>
      </c>
      <c r="F58">
        <v>7</v>
      </c>
    </row>
    <row r="59" spans="1:6" x14ac:dyDescent="0.25">
      <c r="A59" t="s">
        <v>48</v>
      </c>
      <c r="B59" t="s">
        <v>287</v>
      </c>
      <c r="C59" t="s">
        <v>152</v>
      </c>
      <c r="D59" t="s">
        <v>47</v>
      </c>
      <c r="E59" t="str">
        <f>B59&amp;"-"&amp;C59&amp;"-"&amp;D59</f>
        <v>after-tross-OW</v>
      </c>
      <c r="F59">
        <v>5</v>
      </c>
    </row>
    <row r="60" spans="1:6" x14ac:dyDescent="0.25">
      <c r="A60" t="s">
        <v>49</v>
      </c>
      <c r="B60" t="s">
        <v>286</v>
      </c>
      <c r="C60" t="s">
        <v>152</v>
      </c>
      <c r="D60" t="s">
        <v>47</v>
      </c>
      <c r="E60" t="str">
        <f>B60&amp;"-"&amp;C60&amp;"-"&amp;D60</f>
        <v>before-tross-OW</v>
      </c>
      <c r="F60">
        <v>20</v>
      </c>
    </row>
    <row r="61" spans="1:6" x14ac:dyDescent="0.25">
      <c r="A61" t="s">
        <v>49</v>
      </c>
      <c r="B61" t="s">
        <v>287</v>
      </c>
      <c r="C61" t="s">
        <v>152</v>
      </c>
      <c r="D61" t="s">
        <v>47</v>
      </c>
      <c r="E61" t="str">
        <f>B61&amp;"-"&amp;C61&amp;"-"&amp;D61</f>
        <v>after-tross-OW</v>
      </c>
      <c r="F61">
        <v>5</v>
      </c>
    </row>
    <row r="62" spans="1:6" x14ac:dyDescent="0.25">
      <c r="A62" t="s">
        <v>50</v>
      </c>
      <c r="B62" t="s">
        <v>286</v>
      </c>
      <c r="C62" t="s">
        <v>152</v>
      </c>
      <c r="D62" t="s">
        <v>47</v>
      </c>
      <c r="E62" t="str">
        <f>B62&amp;"-"&amp;C62&amp;"-"&amp;D62</f>
        <v>before-tross-OW</v>
      </c>
      <c r="F62">
        <v>21</v>
      </c>
    </row>
    <row r="63" spans="1:6" x14ac:dyDescent="0.25">
      <c r="A63" t="s">
        <v>50</v>
      </c>
      <c r="B63" t="s">
        <v>287</v>
      </c>
      <c r="C63" t="s">
        <v>152</v>
      </c>
      <c r="D63" t="s">
        <v>47</v>
      </c>
      <c r="E63" t="str">
        <f>B63&amp;"-"&amp;C63&amp;"-"&amp;D63</f>
        <v>after-tross-OW</v>
      </c>
      <c r="F63">
        <v>15</v>
      </c>
    </row>
    <row r="64" spans="1:6" x14ac:dyDescent="0.25">
      <c r="A64" t="s">
        <v>52</v>
      </c>
      <c r="B64" t="s">
        <v>286</v>
      </c>
      <c r="C64" t="s">
        <v>152</v>
      </c>
      <c r="D64" t="s">
        <v>47</v>
      </c>
      <c r="E64" t="str">
        <f>B64&amp;"-"&amp;C64&amp;"-"&amp;D64</f>
        <v>before-tross-OW</v>
      </c>
      <c r="F64">
        <v>9</v>
      </c>
    </row>
    <row r="65" spans="1:6" x14ac:dyDescent="0.25">
      <c r="A65" t="s">
        <v>52</v>
      </c>
      <c r="B65" t="s">
        <v>287</v>
      </c>
      <c r="C65" t="s">
        <v>152</v>
      </c>
      <c r="D65" t="s">
        <v>47</v>
      </c>
      <c r="E65" t="str">
        <f>B65&amp;"-"&amp;C65&amp;"-"&amp;D65</f>
        <v>after-tross-OW</v>
      </c>
      <c r="F65">
        <v>12</v>
      </c>
    </row>
    <row r="66" spans="1:6" x14ac:dyDescent="0.25">
      <c r="A66" t="s">
        <v>53</v>
      </c>
      <c r="B66" t="s">
        <v>286</v>
      </c>
      <c r="C66" t="s">
        <v>152</v>
      </c>
      <c r="D66" t="s">
        <v>47</v>
      </c>
      <c r="E66" t="str">
        <f>B66&amp;"-"&amp;C66&amp;"-"&amp;D66</f>
        <v>before-tross-OW</v>
      </c>
      <c r="F66">
        <v>7</v>
      </c>
    </row>
    <row r="67" spans="1:6" x14ac:dyDescent="0.25">
      <c r="A67" t="s">
        <v>53</v>
      </c>
      <c r="B67" t="s">
        <v>287</v>
      </c>
      <c r="C67" t="s">
        <v>152</v>
      </c>
      <c r="D67" t="s">
        <v>47</v>
      </c>
      <c r="E67" t="str">
        <f>B67&amp;"-"&amp;C67&amp;"-"&amp;D67</f>
        <v>after-tross-OW</v>
      </c>
      <c r="F67">
        <v>13</v>
      </c>
    </row>
    <row r="68" spans="1:6" x14ac:dyDescent="0.25">
      <c r="A68" t="s">
        <v>54</v>
      </c>
      <c r="B68" t="s">
        <v>286</v>
      </c>
      <c r="C68" t="s">
        <v>152</v>
      </c>
      <c r="D68" t="s">
        <v>47</v>
      </c>
      <c r="E68" t="str">
        <f>B68&amp;"-"&amp;C68&amp;"-"&amp;D68</f>
        <v>before-tross-OW</v>
      </c>
      <c r="F68">
        <v>23</v>
      </c>
    </row>
    <row r="69" spans="1:6" x14ac:dyDescent="0.25">
      <c r="A69" t="s">
        <v>54</v>
      </c>
      <c r="B69" t="s">
        <v>287</v>
      </c>
      <c r="C69" t="s">
        <v>152</v>
      </c>
      <c r="D69" t="s">
        <v>47</v>
      </c>
      <c r="E69" t="str">
        <f>B69&amp;"-"&amp;C69&amp;"-"&amp;D69</f>
        <v>after-tross-OW</v>
      </c>
      <c r="F69">
        <v>13</v>
      </c>
    </row>
    <row r="70" spans="1:6" x14ac:dyDescent="0.25">
      <c r="A70" t="s">
        <v>55</v>
      </c>
      <c r="B70" t="s">
        <v>286</v>
      </c>
      <c r="C70" t="s">
        <v>152</v>
      </c>
      <c r="D70" t="s">
        <v>47</v>
      </c>
      <c r="E70" t="str">
        <f>B70&amp;"-"&amp;C70&amp;"-"&amp;D70</f>
        <v>before-tross-OW</v>
      </c>
      <c r="F70">
        <v>9</v>
      </c>
    </row>
    <row r="71" spans="1:6" x14ac:dyDescent="0.25">
      <c r="A71" t="s">
        <v>55</v>
      </c>
      <c r="B71" t="s">
        <v>287</v>
      </c>
      <c r="C71" t="s">
        <v>152</v>
      </c>
      <c r="D71" t="s">
        <v>47</v>
      </c>
      <c r="E71" t="str">
        <f>B71&amp;"-"&amp;C71&amp;"-"&amp;D71</f>
        <v>after-tross-OW</v>
      </c>
      <c r="F71">
        <v>14</v>
      </c>
    </row>
    <row r="72" spans="1:6" x14ac:dyDescent="0.25">
      <c r="A72" t="s">
        <v>56</v>
      </c>
      <c r="B72" t="s">
        <v>286</v>
      </c>
      <c r="C72" t="s">
        <v>152</v>
      </c>
      <c r="D72" t="s">
        <v>47</v>
      </c>
      <c r="E72" t="str">
        <f>B72&amp;"-"&amp;C72&amp;"-"&amp;D72</f>
        <v>before-tross-OW</v>
      </c>
      <c r="F72">
        <v>6</v>
      </c>
    </row>
    <row r="73" spans="1:6" x14ac:dyDescent="0.25">
      <c r="A73" t="s">
        <v>56</v>
      </c>
      <c r="B73" t="s">
        <v>287</v>
      </c>
      <c r="C73" t="s">
        <v>152</v>
      </c>
      <c r="D73" t="s">
        <v>47</v>
      </c>
      <c r="E73" t="str">
        <f>B73&amp;"-"&amp;C73&amp;"-"&amp;D73</f>
        <v>after-tross-OW</v>
      </c>
      <c r="F73">
        <v>10</v>
      </c>
    </row>
    <row r="74" spans="1:6" x14ac:dyDescent="0.25">
      <c r="A74" t="s">
        <v>57</v>
      </c>
      <c r="B74" t="s">
        <v>286</v>
      </c>
      <c r="C74" t="s">
        <v>152</v>
      </c>
      <c r="D74" t="s">
        <v>47</v>
      </c>
      <c r="E74" t="str">
        <f>B74&amp;"-"&amp;C74&amp;"-"&amp;D74</f>
        <v>before-tross-OW</v>
      </c>
      <c r="F74">
        <v>4</v>
      </c>
    </row>
    <row r="75" spans="1:6" x14ac:dyDescent="0.25">
      <c r="A75" t="s">
        <v>57</v>
      </c>
      <c r="B75" t="s">
        <v>287</v>
      </c>
      <c r="C75" t="s">
        <v>152</v>
      </c>
      <c r="D75" t="s">
        <v>47</v>
      </c>
      <c r="E75" t="str">
        <f>B75&amp;"-"&amp;C75&amp;"-"&amp;D75</f>
        <v>after-tross-OW</v>
      </c>
      <c r="F75">
        <v>12</v>
      </c>
    </row>
    <row r="76" spans="1:6" x14ac:dyDescent="0.25">
      <c r="A76" t="s">
        <v>58</v>
      </c>
      <c r="B76" t="s">
        <v>286</v>
      </c>
      <c r="C76" t="s">
        <v>152</v>
      </c>
      <c r="D76" t="s">
        <v>47</v>
      </c>
      <c r="E76" t="str">
        <f>B76&amp;"-"&amp;C76&amp;"-"&amp;D76</f>
        <v>before-tross-OW</v>
      </c>
      <c r="F76">
        <v>4</v>
      </c>
    </row>
    <row r="77" spans="1:6" x14ac:dyDescent="0.25">
      <c r="A77" t="s">
        <v>58</v>
      </c>
      <c r="B77" t="s">
        <v>287</v>
      </c>
      <c r="C77" t="s">
        <v>152</v>
      </c>
      <c r="D77" t="s">
        <v>47</v>
      </c>
      <c r="E77" t="str">
        <f>B77&amp;"-"&amp;C77&amp;"-"&amp;D77</f>
        <v>after-tross-OW</v>
      </c>
      <c r="F77">
        <v>13</v>
      </c>
    </row>
    <row r="78" spans="1:6" x14ac:dyDescent="0.25">
      <c r="A78" t="s">
        <v>59</v>
      </c>
      <c r="B78" t="s">
        <v>286</v>
      </c>
      <c r="C78" t="s">
        <v>152</v>
      </c>
      <c r="D78" t="s">
        <v>47</v>
      </c>
      <c r="E78" t="str">
        <f>B78&amp;"-"&amp;C78&amp;"-"&amp;D78</f>
        <v>before-tross-OW</v>
      </c>
      <c r="F78">
        <v>13</v>
      </c>
    </row>
    <row r="79" spans="1:6" x14ac:dyDescent="0.25">
      <c r="A79" t="s">
        <v>59</v>
      </c>
      <c r="B79" t="s">
        <v>287</v>
      </c>
      <c r="C79" t="s">
        <v>152</v>
      </c>
      <c r="D79" t="s">
        <v>47</v>
      </c>
      <c r="E79" t="str">
        <f>B79&amp;"-"&amp;C79&amp;"-"&amp;D79</f>
        <v>after-tross-OW</v>
      </c>
      <c r="F79">
        <v>3</v>
      </c>
    </row>
    <row r="80" spans="1:6" x14ac:dyDescent="0.25">
      <c r="A80" t="s">
        <v>60</v>
      </c>
      <c r="B80" t="s">
        <v>286</v>
      </c>
      <c r="C80" t="s">
        <v>152</v>
      </c>
      <c r="D80" t="s">
        <v>47</v>
      </c>
      <c r="E80" t="str">
        <f>B80&amp;"-"&amp;C80&amp;"-"&amp;D80</f>
        <v>before-tross-OW</v>
      </c>
      <c r="F80">
        <v>16</v>
      </c>
    </row>
    <row r="81" spans="1:6" x14ac:dyDescent="0.25">
      <c r="A81" t="s">
        <v>60</v>
      </c>
      <c r="B81" t="s">
        <v>287</v>
      </c>
      <c r="C81" t="s">
        <v>152</v>
      </c>
      <c r="D81" t="s">
        <v>47</v>
      </c>
      <c r="E81" t="str">
        <f>B81&amp;"-"&amp;C81&amp;"-"&amp;D81</f>
        <v>after-tross-OW</v>
      </c>
      <c r="F81">
        <v>5</v>
      </c>
    </row>
    <row r="82" spans="1:6" x14ac:dyDescent="0.25">
      <c r="A82" t="s">
        <v>61</v>
      </c>
      <c r="B82" t="s">
        <v>286</v>
      </c>
      <c r="C82" t="s">
        <v>152</v>
      </c>
      <c r="D82" t="s">
        <v>47</v>
      </c>
      <c r="E82" t="str">
        <f>B82&amp;"-"&amp;C82&amp;"-"&amp;D82</f>
        <v>before-tross-OW</v>
      </c>
      <c r="F82">
        <v>10</v>
      </c>
    </row>
    <row r="83" spans="1:6" x14ac:dyDescent="0.25">
      <c r="A83" t="s">
        <v>61</v>
      </c>
      <c r="B83" t="s">
        <v>287</v>
      </c>
      <c r="C83" t="s">
        <v>152</v>
      </c>
      <c r="D83" t="s">
        <v>47</v>
      </c>
      <c r="E83" t="str">
        <f>B83&amp;"-"&amp;C83&amp;"-"&amp;D83</f>
        <v>after-tross-OW</v>
      </c>
      <c r="F83">
        <v>16</v>
      </c>
    </row>
    <row r="84" spans="1:6" x14ac:dyDescent="0.25">
      <c r="A84" t="s">
        <v>66</v>
      </c>
      <c r="B84" t="s">
        <v>286</v>
      </c>
      <c r="C84" t="s">
        <v>152</v>
      </c>
      <c r="D84" t="s">
        <v>63</v>
      </c>
      <c r="E84" t="str">
        <f>B84&amp;"-"&amp;C84&amp;"-"&amp;D84</f>
        <v>before-tross-DO</v>
      </c>
      <c r="F84">
        <v>20</v>
      </c>
    </row>
    <row r="85" spans="1:6" x14ac:dyDescent="0.25">
      <c r="A85" t="s">
        <v>66</v>
      </c>
      <c r="B85" t="s">
        <v>287</v>
      </c>
      <c r="C85" t="s">
        <v>152</v>
      </c>
      <c r="D85" t="s">
        <v>63</v>
      </c>
      <c r="E85" t="str">
        <f>B85&amp;"-"&amp;C85&amp;"-"&amp;D85</f>
        <v>after-tross-DO</v>
      </c>
      <c r="F85">
        <v>3</v>
      </c>
    </row>
    <row r="86" spans="1:6" x14ac:dyDescent="0.25">
      <c r="A86" t="s">
        <v>67</v>
      </c>
      <c r="B86" t="s">
        <v>286</v>
      </c>
      <c r="C86" t="s">
        <v>152</v>
      </c>
      <c r="D86" t="s">
        <v>63</v>
      </c>
      <c r="E86" t="str">
        <f>B86&amp;"-"&amp;C86&amp;"-"&amp;D86</f>
        <v>before-tross-DO</v>
      </c>
      <c r="F86">
        <v>12</v>
      </c>
    </row>
    <row r="87" spans="1:6" x14ac:dyDescent="0.25">
      <c r="A87" t="s">
        <v>67</v>
      </c>
      <c r="B87" t="s">
        <v>287</v>
      </c>
      <c r="C87" t="s">
        <v>152</v>
      </c>
      <c r="D87" t="s">
        <v>63</v>
      </c>
      <c r="E87" t="str">
        <f>B87&amp;"-"&amp;C87&amp;"-"&amp;D87</f>
        <v>after-tross-DO</v>
      </c>
      <c r="F87">
        <v>4</v>
      </c>
    </row>
    <row r="88" spans="1:6" x14ac:dyDescent="0.25">
      <c r="A88" t="s">
        <v>69</v>
      </c>
      <c r="B88" t="s">
        <v>286</v>
      </c>
      <c r="C88" t="s">
        <v>152</v>
      </c>
      <c r="D88" t="s">
        <v>63</v>
      </c>
      <c r="E88" t="str">
        <f>B88&amp;"-"&amp;C88&amp;"-"&amp;D88</f>
        <v>before-tross-DO</v>
      </c>
      <c r="F88">
        <v>8</v>
      </c>
    </row>
    <row r="89" spans="1:6" x14ac:dyDescent="0.25">
      <c r="A89" t="s">
        <v>69</v>
      </c>
      <c r="B89" t="s">
        <v>287</v>
      </c>
      <c r="C89" t="s">
        <v>152</v>
      </c>
      <c r="D89" t="s">
        <v>63</v>
      </c>
      <c r="E89" t="str">
        <f>B89&amp;"-"&amp;C89&amp;"-"&amp;D89</f>
        <v>after-tross-DO</v>
      </c>
      <c r="F89">
        <v>1</v>
      </c>
    </row>
    <row r="90" spans="1:6" x14ac:dyDescent="0.25">
      <c r="A90" t="s">
        <v>71</v>
      </c>
      <c r="B90" t="s">
        <v>286</v>
      </c>
      <c r="C90" t="s">
        <v>152</v>
      </c>
      <c r="D90" t="s">
        <v>63</v>
      </c>
      <c r="E90" t="str">
        <f>B90&amp;"-"&amp;C90&amp;"-"&amp;D90</f>
        <v>before-tross-DO</v>
      </c>
      <c r="F90">
        <v>6</v>
      </c>
    </row>
    <row r="91" spans="1:6" x14ac:dyDescent="0.25">
      <c r="A91" t="s">
        <v>71</v>
      </c>
      <c r="B91" t="s">
        <v>287</v>
      </c>
      <c r="C91" t="s">
        <v>152</v>
      </c>
      <c r="D91" t="s">
        <v>63</v>
      </c>
      <c r="E91" t="str">
        <f>B91&amp;"-"&amp;C91&amp;"-"&amp;D91</f>
        <v>after-tross-DO</v>
      </c>
      <c r="F91">
        <v>5</v>
      </c>
    </row>
    <row r="92" spans="1:6" x14ac:dyDescent="0.25">
      <c r="A92" t="s">
        <v>72</v>
      </c>
      <c r="B92" t="s">
        <v>286</v>
      </c>
      <c r="C92" t="s">
        <v>152</v>
      </c>
      <c r="D92" t="s">
        <v>63</v>
      </c>
      <c r="E92" t="str">
        <f>B92&amp;"-"&amp;C92&amp;"-"&amp;D92</f>
        <v>before-tross-DO</v>
      </c>
      <c r="F92">
        <v>5</v>
      </c>
    </row>
    <row r="93" spans="1:6" x14ac:dyDescent="0.25">
      <c r="A93" t="s">
        <v>72</v>
      </c>
      <c r="B93" t="s">
        <v>287</v>
      </c>
      <c r="C93" t="s">
        <v>152</v>
      </c>
      <c r="D93" t="s">
        <v>63</v>
      </c>
      <c r="E93" t="str">
        <f>B93&amp;"-"&amp;C93&amp;"-"&amp;D93</f>
        <v>after-tross-DO</v>
      </c>
      <c r="F93">
        <v>7</v>
      </c>
    </row>
    <row r="94" spans="1:6" x14ac:dyDescent="0.25">
      <c r="A94" t="s">
        <v>75</v>
      </c>
      <c r="B94" t="s">
        <v>286</v>
      </c>
      <c r="C94" t="s">
        <v>152</v>
      </c>
      <c r="D94" t="s">
        <v>63</v>
      </c>
      <c r="E94" t="str">
        <f>B94&amp;"-"&amp;C94&amp;"-"&amp;D94</f>
        <v>before-tross-DO</v>
      </c>
      <c r="F94">
        <v>13</v>
      </c>
    </row>
    <row r="95" spans="1:6" x14ac:dyDescent="0.25">
      <c r="A95" t="s">
        <v>75</v>
      </c>
      <c r="B95" t="s">
        <v>287</v>
      </c>
      <c r="C95" t="s">
        <v>152</v>
      </c>
      <c r="D95" t="s">
        <v>63</v>
      </c>
      <c r="E95" t="str">
        <f>B95&amp;"-"&amp;C95&amp;"-"&amp;D95</f>
        <v>after-tross-DO</v>
      </c>
      <c r="F95">
        <v>4</v>
      </c>
    </row>
    <row r="96" spans="1:6" x14ac:dyDescent="0.25">
      <c r="A96" t="s">
        <v>76</v>
      </c>
      <c r="B96" t="s">
        <v>286</v>
      </c>
      <c r="C96" t="s">
        <v>152</v>
      </c>
      <c r="D96" t="s">
        <v>63</v>
      </c>
      <c r="E96" t="str">
        <f>B96&amp;"-"&amp;C96&amp;"-"&amp;D96</f>
        <v>before-tross-DO</v>
      </c>
      <c r="F96">
        <v>12</v>
      </c>
    </row>
    <row r="97" spans="1:6" x14ac:dyDescent="0.25">
      <c r="A97" t="s">
        <v>76</v>
      </c>
      <c r="B97" t="s">
        <v>287</v>
      </c>
      <c r="C97" t="s">
        <v>152</v>
      </c>
      <c r="D97" t="s">
        <v>63</v>
      </c>
      <c r="E97" t="str">
        <f>B97&amp;"-"&amp;C97&amp;"-"&amp;D97</f>
        <v>after-tross-DO</v>
      </c>
      <c r="F97">
        <v>6</v>
      </c>
    </row>
    <row r="98" spans="1:6" x14ac:dyDescent="0.25">
      <c r="A98" t="s">
        <v>77</v>
      </c>
      <c r="B98" t="s">
        <v>286</v>
      </c>
      <c r="C98" t="s">
        <v>152</v>
      </c>
      <c r="D98" t="s">
        <v>63</v>
      </c>
      <c r="E98" t="str">
        <f>B98&amp;"-"&amp;C98&amp;"-"&amp;D98</f>
        <v>before-tross-DO</v>
      </c>
      <c r="F98">
        <v>10</v>
      </c>
    </row>
    <row r="99" spans="1:6" x14ac:dyDescent="0.25">
      <c r="A99" t="s">
        <v>77</v>
      </c>
      <c r="B99" t="s">
        <v>287</v>
      </c>
      <c r="C99" t="s">
        <v>152</v>
      </c>
      <c r="D99" t="s">
        <v>63</v>
      </c>
      <c r="E99" t="str">
        <f>B99&amp;"-"&amp;C99&amp;"-"&amp;D99</f>
        <v>after-tross-DO</v>
      </c>
      <c r="F99">
        <v>18</v>
      </c>
    </row>
    <row r="100" spans="1:6" x14ac:dyDescent="0.25">
      <c r="A100" t="s">
        <v>78</v>
      </c>
      <c r="B100" t="s">
        <v>286</v>
      </c>
      <c r="C100" t="s">
        <v>152</v>
      </c>
      <c r="D100" t="s">
        <v>63</v>
      </c>
      <c r="E100" t="str">
        <f>B100&amp;"-"&amp;C100&amp;"-"&amp;D100</f>
        <v>before-tross-DO</v>
      </c>
      <c r="F100">
        <v>23</v>
      </c>
    </row>
    <row r="101" spans="1:6" x14ac:dyDescent="0.25">
      <c r="A101" t="s">
        <v>78</v>
      </c>
      <c r="B101" t="s">
        <v>287</v>
      </c>
      <c r="C101" t="s">
        <v>152</v>
      </c>
      <c r="D101" t="s">
        <v>63</v>
      </c>
      <c r="E101" t="str">
        <f>B101&amp;"-"&amp;C101&amp;"-"&amp;D101</f>
        <v>after-tross-DO</v>
      </c>
      <c r="F101">
        <v>6</v>
      </c>
    </row>
  </sheetData>
  <sortState xmlns:xlrd2="http://schemas.microsoft.com/office/spreadsheetml/2017/richdata2" ref="A2:F101">
    <sortCondition ref="C2:C101"/>
    <sortCondition ref="A2:A101"/>
    <sortCondition descending="1" ref="B2:B1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</vt:lpstr>
      <vt:lpstr>tissue-for-RNA</vt:lpstr>
      <vt:lpstr>rna_isolation_info</vt:lpstr>
      <vt:lpstr>condition</vt:lpstr>
      <vt:lpstr>paired-thread_count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</dc:creator>
  <cp:keywords/>
  <dc:description/>
  <cp:lastModifiedBy>Matt George</cp:lastModifiedBy>
  <cp:revision/>
  <dcterms:created xsi:type="dcterms:W3CDTF">2021-10-22T16:12:00Z</dcterms:created>
  <dcterms:modified xsi:type="dcterms:W3CDTF">2026-06-18T05:25:51Z</dcterms:modified>
  <cp:category/>
  <cp:contentStatus/>
</cp:coreProperties>
</file>