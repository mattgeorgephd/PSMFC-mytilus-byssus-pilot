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morphometrics\02_data\"/>
    </mc:Choice>
  </mc:AlternateContent>
  <xr:revisionPtr revIDLastSave="0" documentId="13_ncr:1_{055999BA-48B5-49D4-B871-48C6E0F4C5B4}" xr6:coauthVersionLast="47" xr6:coauthVersionMax="47" xr10:uidLastSave="{00000000-0000-0000-0000-000000000000}"/>
  <bookViews>
    <workbookView xWindow="28680" yWindow="-120" windowWidth="29040" windowHeight="15720" xr2:uid="{304823C0-04AF-47DA-8C98-4C863644367A}"/>
  </bookViews>
  <sheets>
    <sheet name="key" sheetId="4" r:id="rId1"/>
    <sheet name="tissue-for-RNA" sheetId="9" r:id="rId2"/>
    <sheet name="condition" sheetId="6" r:id="rId3"/>
    <sheet name="paired-thread_count" sheetId="8" r:id="rId4"/>
  </sheets>
  <definedNames>
    <definedName name="_xlnm._FilterDatabase" localSheetId="0" hidden="1">key!$A$1:$O$76</definedName>
    <definedName name="_xlnm._FilterDatabase" localSheetId="3" hidden="1">'paired-thread_count'!$A$1:$F$37</definedName>
    <definedName name="_xlnm._FilterDatabase" localSheetId="1" hidden="1">'tissue-for-RNA'!$A$1:$E$65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9" l="1"/>
  <c r="C2" i="9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E32" i="8"/>
  <c r="E16" i="8"/>
  <c r="E2" i="8"/>
  <c r="E4" i="8"/>
  <c r="E6" i="8"/>
  <c r="E8" i="8"/>
  <c r="E10" i="8"/>
  <c r="E12" i="8"/>
  <c r="E19" i="8"/>
  <c r="E22" i="8"/>
  <c r="E36" i="8"/>
  <c r="E30" i="8"/>
  <c r="E18" i="8"/>
  <c r="E20" i="8"/>
  <c r="E28" i="8"/>
  <c r="E34" i="8"/>
  <c r="E17" i="8"/>
  <c r="E24" i="8"/>
  <c r="E26" i="8"/>
  <c r="E3" i="8"/>
  <c r="E5" i="8"/>
  <c r="E7" i="8"/>
  <c r="E9" i="8"/>
  <c r="E11" i="8"/>
  <c r="E13" i="8"/>
  <c r="E14" i="8"/>
  <c r="E25" i="8"/>
  <c r="E37" i="8"/>
  <c r="E33" i="8"/>
  <c r="E23" i="8"/>
  <c r="E29" i="8"/>
  <c r="E31" i="8"/>
  <c r="E15" i="8"/>
  <c r="E21" i="8"/>
  <c r="E27" i="8"/>
  <c r="E35" i="8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2" i="4"/>
  <c r="J2" i="4"/>
  <c r="J3" i="4"/>
  <c r="J4" i="4"/>
  <c r="J5" i="4"/>
  <c r="J6" i="4"/>
  <c r="J7" i="4"/>
  <c r="J8" i="4"/>
  <c r="J9" i="4"/>
  <c r="J10" i="4"/>
  <c r="J11" i="4"/>
  <c r="J12" i="4"/>
  <c r="J13" i="4"/>
  <c r="J76" i="4"/>
  <c r="J75" i="4"/>
  <c r="J74" i="4"/>
  <c r="J73" i="4"/>
  <c r="J72" i="4"/>
  <c r="J71" i="4"/>
  <c r="J70" i="4"/>
  <c r="J69" i="4"/>
  <c r="J68" i="4"/>
  <c r="J67" i="4"/>
  <c r="J66" i="4"/>
  <c r="J65" i="4"/>
  <c r="J51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41" i="4"/>
  <c r="J42" i="4"/>
  <c r="J43" i="4"/>
  <c r="J44" i="4"/>
  <c r="J45" i="4"/>
  <c r="J46" i="4"/>
  <c r="J47" i="4"/>
  <c r="J48" i="4"/>
  <c r="J49" i="4"/>
  <c r="J50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</calcChain>
</file>

<file path=xl/sharedStrings.xml><?xml version="1.0" encoding="utf-8"?>
<sst xmlns="http://schemas.openxmlformats.org/spreadsheetml/2006/main" count="891" uniqueCount="180">
  <si>
    <t>sdate</t>
  </si>
  <si>
    <t>L</t>
  </si>
  <si>
    <t>H</t>
  </si>
  <si>
    <t>W</t>
  </si>
  <si>
    <t>total_mass</t>
  </si>
  <si>
    <t>gonad_mass</t>
  </si>
  <si>
    <t>CI</t>
  </si>
  <si>
    <t>GI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</si>
  <si>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</si>
  <si>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</si>
  <si>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</si>
  <si>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</si>
  <si>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</si>
  <si>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</si>
  <si>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</si>
  <si>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</si>
  <si>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</si>
  <si>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</si>
  <si>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trt</t>
  </si>
  <si>
    <t>V</t>
  </si>
  <si>
    <t>OA</t>
  </si>
  <si>
    <t>OW</t>
  </si>
  <si>
    <t>DO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</si>
  <si>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</si>
  <si>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</si>
  <si>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</si>
  <si>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</si>
  <si>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</si>
  <si>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</si>
  <si>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</si>
  <si>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</si>
  <si>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</si>
  <si>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</si>
  <si>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</si>
  <si>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</si>
  <si>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</si>
  <si>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</si>
  <si>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</si>
  <si>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</si>
  <si>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</si>
  <si>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</si>
  <si>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</si>
  <si>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</si>
  <si>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</si>
  <si>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</si>
  <si>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baseline</t>
  </si>
  <si>
    <t>G11</t>
  </si>
  <si>
    <t>G12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</si>
  <si>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</si>
  <si>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</si>
  <si>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</si>
  <si>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</si>
  <si>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</si>
  <si>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</si>
  <si>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</si>
  <si>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</si>
  <si>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</si>
  <si>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</si>
  <si>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</si>
  <si>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</si>
  <si>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</si>
  <si>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</si>
  <si>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</si>
  <si>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day</t>
  </si>
  <si>
    <t>following</t>
  </si>
  <si>
    <t>no</t>
  </si>
  <si>
    <t>yes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</si>
  <si>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</si>
  <si>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</si>
  <si>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</si>
  <si>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</si>
  <si>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</si>
  <si>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</si>
  <si>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</si>
  <si>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</si>
  <si>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</si>
  <si>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</si>
  <si>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species</t>
  </si>
  <si>
    <t>gallo</t>
  </si>
  <si>
    <t>G60</t>
  </si>
  <si>
    <t>G61</t>
  </si>
  <si>
    <t>G62</t>
  </si>
  <si>
    <t>G63</t>
  </si>
  <si>
    <t>G64</t>
  </si>
  <si>
    <t>combo</t>
  </si>
  <si>
    <t>ID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</si>
  <si>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</si>
  <si>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</si>
  <si>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</si>
  <si>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</si>
  <si>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</si>
  <si>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</si>
  <si>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</si>
  <si>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</si>
  <si>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</si>
  <si>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</si>
  <si>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</si>
  <si>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</si>
  <si>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</si>
  <si>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</si>
  <si>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</si>
  <si>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</si>
  <si>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</si>
  <si>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</si>
  <si>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</si>
  <si>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</si>
  <si>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</si>
  <si>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</si>
  <si>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</si>
  <si>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</si>
  <si>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</si>
  <si>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</si>
  <si>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</si>
  <si>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</si>
  <si>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</si>
  <si>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</si>
  <si>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</si>
  <si>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</si>
  <si>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</si>
  <si>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</si>
  <si>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</si>
  <si>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</si>
  <si>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</si>
  <si>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</si>
  <si>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</si>
  <si>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</si>
  <si>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</si>
  <si>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final</t>
  </si>
  <si>
    <t>thread_both</t>
  </si>
  <si>
    <t>thread_before</t>
  </si>
  <si>
    <t>thread_after</t>
  </si>
  <si>
    <t>control</t>
  </si>
  <si>
    <t>thread_count_before</t>
  </si>
  <si>
    <t>thread_count_after</t>
  </si>
  <si>
    <t>before</t>
  </si>
  <si>
    <t>after</t>
  </si>
  <si>
    <t>time</t>
  </si>
  <si>
    <t>thread</t>
  </si>
  <si>
    <t>G241</t>
  </si>
  <si>
    <t>G211</t>
  </si>
  <si>
    <t>G210</t>
  </si>
  <si>
    <t>G240</t>
  </si>
  <si>
    <t>G250</t>
  </si>
  <si>
    <t>G260</t>
  </si>
  <si>
    <t>G261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</si>
  <si>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</si>
  <si>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</si>
  <si>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</si>
  <si>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</si>
  <si>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</si>
  <si>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</si>
  <si>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</si>
  <si>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</si>
  <si>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</si>
  <si>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</si>
  <si>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</si>
  <si>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</si>
  <si>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</si>
  <si>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</si>
  <si>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</si>
  <si>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</si>
  <si>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</si>
  <si>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</si>
  <si>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</si>
  <si>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</si>
  <si>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</si>
  <si>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</si>
  <si>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</si>
  <si>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</si>
  <si>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</si>
  <si>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</si>
  <si>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</si>
  <si>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</si>
  <si>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</si>
  <si>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</si>
  <si>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gallo-baseline</t>
  </si>
  <si>
    <t>gallo-OA</t>
  </si>
  <si>
    <t>gallo-OW</t>
  </si>
  <si>
    <t>gallo-DO</t>
  </si>
  <si>
    <t>gallo-final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</si>
</sst>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01E8-434F-48F8-A4DE-F240F67D4FEC}">
  <dimension ref="A1:P76"/>
  <sheetViews>
    <sheetView tabSelected="1" zoomScale="85" zoomScaleNormal="85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.5703125" style="1" bestFit="1" customWidth="1"/>
    <col min="2" max="2" width="13.5703125" style="1" bestFit="1" customWidth="1"/>
    <col min="3" max="3" width="15.28515625" style="1" bestFit="1" customWidth="1"/>
    <col min="4" max="4" width="11.7109375" style="1" bestFit="1" customWidth="1"/>
    <col min="5" max="5" width="9.7109375" style="1" bestFit="1" customWidth="1"/>
    <col min="6" max="6" width="11.7109375" style="1" bestFit="1" customWidth="1"/>
    <col min="7" max="7" width="7.42578125" style="3" bestFit="1" customWidth="1"/>
    <col min="8" max="8" width="7.85546875" style="3" bestFit="1" customWidth="1"/>
    <col min="9" max="9" width="8.42578125" style="3" bestFit="1" customWidth="1"/>
    <col min="10" max="10" width="7.7109375" style="3" bestFit="1" customWidth="1"/>
    <col min="11" max="11" width="19.85546875" style="1" bestFit="1" customWidth="1"/>
    <col min="12" max="12" width="18" style="1" bestFit="1" customWidth="1"/>
    <col min="13" max="13" width="17.85546875" style="1" bestFit="1" customWidth="1"/>
    <col min="14" max="14" width="26" style="1" bestFit="1" customWidth="1"/>
    <col min="15" max="15" width="24.28515625" style="1" bestFit="1" customWidth="1"/>
  </cols>
  <sheetData>
    <row r="1" spans="1:16" x14ac:dyDescent="0.25">
      <c r="A1" s="1" t="s">
        <v>85</v>
      </c>
      <c r="B1" s="1" t="s">
        <v>77</v>
      </c>
      <c r="C1" s="1" t="s">
        <v>64</v>
      </c>
      <c r="D1" s="1" t="s">
        <v>18</v>
      </c>
      <c r="E1" s="1" t="s">
        <v>63</v>
      </c>
      <c r="F1" s="1" t="s">
        <v>0</v>
      </c>
      <c r="G1" s="3" t="s">
        <v>1</v>
      </c>
      <c r="H1" s="3" t="s">
        <v>2</v>
      </c>
      <c r="I1" s="3" t="s">
        <v>3</v>
      </c>
      <c r="J1" s="3" t="s">
        <v>19</v>
      </c>
      <c r="K1" s="3" t="s">
        <v>129</v>
      </c>
      <c r="L1" s="3" t="s">
        <v>130</v>
      </c>
      <c r="M1" s="3" t="s">
        <v>128</v>
      </c>
      <c r="N1" s="3" t="s">
        <v>132</v>
      </c>
      <c r="O1" s="3" t="s">
        <v>133</v>
      </c>
    </row>
    <row r="2" spans="1:16" x14ac:dyDescent="0.25">
      <c r="A2" s="1" t="s">
        <v>8</v>
      </c>
      <c r="B2" s="1" t="s">
        <v>78</v>
      </c>
      <c r="C2" s="1" t="s">
        <v>65</v>
      </c>
      <c r="D2" s="1" t="s">
        <v>131</v>
      </c>
      <c r="E2" s="1">
        <v>0</v>
      </c>
      <c r="F2" s="2">
        <v>44491</v>
      </c>
      <c r="G2" s="1">
        <v>62</v>
      </c>
      <c r="H2" s="1">
        <v>33</v>
      </c>
      <c r="I2" s="1">
        <v>24</v>
      </c>
      <c r="J2" s="3">
        <f>ROUND((4/3)*(G2/10)*(H2/10)*(I2/10),0)</f>
        <v>65</v>
      </c>
      <c r="K2" s="1">
        <v>1</v>
      </c>
      <c r="L2" s="1">
        <v>0</v>
      </c>
      <c r="M2" s="1">
        <f>IF(K2+L2=2,1,0)</f>
        <v>0</v>
      </c>
      <c r="N2" s="1">
        <v>8</v>
      </c>
    </row>
    <row r="3" spans="1:16" x14ac:dyDescent="0.25">
      <c r="A3" s="1" t="s">
        <v>9</v>
      </c>
      <c r="B3" s="1" t="s">
        <v>78</v>
      </c>
      <c r="C3" s="1" t="s">
        <v>65</v>
      </c>
      <c r="D3" s="1" t="s">
        <v>131</v>
      </c>
      <c r="E3" s="1">
        <v>0</v>
      </c>
      <c r="F3" s="2">
        <v>44491</v>
      </c>
      <c r="G3" s="1">
        <v>64</v>
      </c>
      <c r="H3" s="1">
        <v>35</v>
      </c>
      <c r="I3" s="1">
        <v>24</v>
      </c>
      <c r="J3" s="3">
        <f>ROUND((4/3)*(G3/10)*(H3/10)*(I3/10),0)</f>
        <v>72</v>
      </c>
      <c r="K3" s="1">
        <v>1</v>
      </c>
      <c r="L3" s="1">
        <v>0</v>
      </c>
      <c r="M3" s="1">
        <f>IF(K3+L3=2,1,0)</f>
        <v>0</v>
      </c>
      <c r="N3" s="1">
        <v>12</v>
      </c>
    </row>
    <row r="4" spans="1:16" x14ac:dyDescent="0.25">
      <c r="A4" s="1" t="s">
        <v>10</v>
      </c>
      <c r="B4" s="1" t="s">
        <v>78</v>
      </c>
      <c r="C4" s="1" t="s">
        <v>65</v>
      </c>
      <c r="D4" s="1" t="s">
        <v>131</v>
      </c>
      <c r="E4" s="1">
        <v>0</v>
      </c>
      <c r="F4" s="2">
        <v>44491</v>
      </c>
      <c r="G4" s="1">
        <v>59</v>
      </c>
      <c r="H4" s="1">
        <v>34</v>
      </c>
      <c r="I4" s="1">
        <v>23</v>
      </c>
      <c r="J4" s="3">
        <f>ROUND((4/3)*(G4/10)*(H4/10)*(I4/10),0)</f>
        <v>62</v>
      </c>
      <c r="K4" s="1">
        <v>1</v>
      </c>
      <c r="L4" s="1">
        <v>0</v>
      </c>
      <c r="M4" s="1">
        <f>IF(K4+L4=2,1,0)</f>
        <v>0</v>
      </c>
      <c r="N4" s="1">
        <v>6</v>
      </c>
    </row>
    <row r="5" spans="1:16" x14ac:dyDescent="0.25">
      <c r="A5" s="1" t="s">
        <v>11</v>
      </c>
      <c r="B5" s="1" t="s">
        <v>78</v>
      </c>
      <c r="C5" s="1" t="s">
        <v>65</v>
      </c>
      <c r="D5" s="1" t="s">
        <v>131</v>
      </c>
      <c r="E5" s="1">
        <v>0</v>
      </c>
      <c r="F5" s="2">
        <v>44491</v>
      </c>
      <c r="G5" s="1">
        <v>51</v>
      </c>
      <c r="H5" s="1">
        <v>30</v>
      </c>
      <c r="I5" s="1">
        <v>19</v>
      </c>
      <c r="J5" s="3">
        <f>ROUND((4/3)*(G5/10)*(H5/10)*(I5/10),0)</f>
        <v>39</v>
      </c>
      <c r="K5" s="1">
        <v>1</v>
      </c>
      <c r="L5" s="1">
        <v>0</v>
      </c>
      <c r="M5" s="1">
        <f>IF(K5+L5=2,1,0)</f>
        <v>0</v>
      </c>
      <c r="N5" s="1">
        <v>6</v>
      </c>
    </row>
    <row r="6" spans="1:16" x14ac:dyDescent="0.25">
      <c r="A6" s="1" t="s">
        <v>12</v>
      </c>
      <c r="B6" s="1" t="s">
        <v>78</v>
      </c>
      <c r="C6" s="1" t="s">
        <v>65</v>
      </c>
      <c r="D6" s="1" t="s">
        <v>131</v>
      </c>
      <c r="E6" s="1">
        <v>0</v>
      </c>
      <c r="F6" s="2">
        <v>44491</v>
      </c>
      <c r="G6" s="1">
        <v>63</v>
      </c>
      <c r="H6" s="1">
        <v>37</v>
      </c>
      <c r="I6" s="1">
        <v>23</v>
      </c>
      <c r="J6" s="3">
        <f>ROUND((4/3)*(G6/10)*(H6/10)*(I6/10),0)</f>
        <v>71</v>
      </c>
      <c r="K6" s="1">
        <v>1</v>
      </c>
      <c r="L6" s="1">
        <v>0</v>
      </c>
      <c r="M6" s="1">
        <f>IF(K6+L6=2,1,0)</f>
        <v>0</v>
      </c>
      <c r="N6" s="1">
        <v>7</v>
      </c>
    </row>
    <row r="7" spans="1:16" x14ac:dyDescent="0.25">
      <c r="A7" s="1" t="s">
        <v>13</v>
      </c>
      <c r="B7" s="1" t="s">
        <v>78</v>
      </c>
      <c r="C7" s="1" t="s">
        <v>65</v>
      </c>
      <c r="D7" s="1" t="s">
        <v>131</v>
      </c>
      <c r="E7" s="1">
        <v>0</v>
      </c>
      <c r="F7" s="2">
        <v>44491</v>
      </c>
      <c r="G7" s="1">
        <v>62</v>
      </c>
      <c r="H7" s="1">
        <v>33</v>
      </c>
      <c r="I7" s="1">
        <v>24</v>
      </c>
      <c r="J7" s="3">
        <f>ROUND((4/3)*(G7/10)*(H7/10)*(I7/10),0)</f>
        <v>65</v>
      </c>
      <c r="K7" s="1">
        <v>1</v>
      </c>
      <c r="L7" s="1">
        <v>0</v>
      </c>
      <c r="M7" s="1">
        <f>IF(K7+L7=2,1,0)</f>
        <v>0</v>
      </c>
      <c r="N7" s="1">
        <v>9</v>
      </c>
    </row>
    <row r="8" spans="1:16" x14ac:dyDescent="0.25">
      <c r="A8" s="1" t="s">
        <v>14</v>
      </c>
      <c r="B8" s="1" t="s">
        <v>78</v>
      </c>
      <c r="C8" s="1" t="s">
        <v>65</v>
      </c>
      <c r="D8" s="1" t="s">
        <v>131</v>
      </c>
      <c r="E8" s="1">
        <v>0</v>
      </c>
      <c r="F8" s="2">
        <v>44491</v>
      </c>
      <c r="G8" s="1">
        <v>71</v>
      </c>
      <c r="H8" s="1">
        <v>40</v>
      </c>
      <c r="I8" s="1">
        <v>25</v>
      </c>
      <c r="J8" s="3">
        <f>ROUND((4/3)*(G8/10)*(H8/10)*(I8/10),0)</f>
        <v>95</v>
      </c>
      <c r="K8" s="1">
        <v>1</v>
      </c>
      <c r="L8" s="1">
        <v>0</v>
      </c>
      <c r="M8" s="1">
        <f>IF(K8+L8=2,1,0)</f>
        <v>0</v>
      </c>
      <c r="N8" s="1">
        <v>12</v>
      </c>
    </row>
    <row r="9" spans="1:16" x14ac:dyDescent="0.25">
      <c r="A9" s="1" t="s">
        <v>15</v>
      </c>
      <c r="B9" s="1" t="s">
        <v>78</v>
      </c>
      <c r="C9" s="1" t="s">
        <v>65</v>
      </c>
      <c r="D9" s="1" t="s">
        <v>131</v>
      </c>
      <c r="E9" s="1">
        <v>0</v>
      </c>
      <c r="F9" s="2">
        <v>44491</v>
      </c>
      <c r="G9" s="1">
        <v>67</v>
      </c>
      <c r="H9" s="1">
        <v>34</v>
      </c>
      <c r="I9" s="1">
        <v>24</v>
      </c>
      <c r="J9" s="3">
        <f>ROUND((4/3)*(G9/10)*(H9/10)*(I9/10),0)</f>
        <v>73</v>
      </c>
      <c r="K9" s="1">
        <v>1</v>
      </c>
      <c r="L9" s="1">
        <v>0</v>
      </c>
      <c r="M9" s="1">
        <f>IF(K9+L9=2,1,0)</f>
        <v>0</v>
      </c>
      <c r="N9" s="1">
        <v>14</v>
      </c>
    </row>
    <row r="10" spans="1:16" x14ac:dyDescent="0.25">
      <c r="A10" s="1" t="s">
        <v>16</v>
      </c>
      <c r="B10" s="1" t="s">
        <v>78</v>
      </c>
      <c r="C10" s="1" t="s">
        <v>65</v>
      </c>
      <c r="D10" s="1" t="s">
        <v>131</v>
      </c>
      <c r="E10" s="1">
        <v>0</v>
      </c>
      <c r="F10" s="2">
        <v>44491</v>
      </c>
      <c r="G10" s="1">
        <v>58</v>
      </c>
      <c r="H10" s="1">
        <v>32</v>
      </c>
      <c r="I10" s="1">
        <v>23</v>
      </c>
      <c r="J10" s="3">
        <f>ROUND((4/3)*(G10/10)*(H10/10)*(I10/10),0)</f>
        <v>57</v>
      </c>
      <c r="K10" s="1">
        <v>1</v>
      </c>
      <c r="L10" s="1">
        <v>0</v>
      </c>
      <c r="M10" s="1">
        <f>IF(K10+L10=2,1,0)</f>
        <v>0</v>
      </c>
      <c r="N10" s="1">
        <v>11</v>
      </c>
    </row>
    <row r="11" spans="1:16" x14ac:dyDescent="0.25">
      <c r="A11" s="1" t="s">
        <v>17</v>
      </c>
      <c r="B11" s="1" t="s">
        <v>78</v>
      </c>
      <c r="C11" s="1" t="s">
        <v>65</v>
      </c>
      <c r="D11" s="1" t="s">
        <v>131</v>
      </c>
      <c r="E11" s="1">
        <v>0</v>
      </c>
      <c r="F11" s="2">
        <v>44491</v>
      </c>
      <c r="G11" s="1">
        <v>67</v>
      </c>
      <c r="H11" s="1">
        <v>34</v>
      </c>
      <c r="I11" s="1">
        <v>24</v>
      </c>
      <c r="J11" s="3">
        <f>ROUND((4/3)*(G11/10)*(H11/10)*(I11/10),0)</f>
        <v>73</v>
      </c>
      <c r="K11" s="1">
        <v>1</v>
      </c>
      <c r="L11" s="1">
        <v>0</v>
      </c>
      <c r="M11" s="1">
        <f>IF(K11+L11=2,1,0)</f>
        <v>0</v>
      </c>
      <c r="N11" s="1">
        <v>7</v>
      </c>
    </row>
    <row r="12" spans="1:16" x14ac:dyDescent="0.25">
      <c r="A12" s="1" t="s">
        <v>46</v>
      </c>
      <c r="B12" s="1" t="s">
        <v>78</v>
      </c>
      <c r="C12" s="1" t="s">
        <v>65</v>
      </c>
      <c r="D12" s="1" t="s">
        <v>131</v>
      </c>
      <c r="E12" s="1">
        <v>0</v>
      </c>
      <c r="F12" s="2">
        <v>44491</v>
      </c>
      <c r="G12" s="1">
        <v>63</v>
      </c>
      <c r="H12" s="1">
        <v>34</v>
      </c>
      <c r="I12" s="1">
        <v>20</v>
      </c>
      <c r="J12" s="3">
        <f>ROUND((4/3)*(G12/10)*(H12/10)*(I12/10),0)</f>
        <v>57</v>
      </c>
      <c r="K12" s="1">
        <v>1</v>
      </c>
      <c r="L12" s="1">
        <v>0</v>
      </c>
      <c r="M12" s="1">
        <f>IF(K12+L12=2,1,0)</f>
        <v>0</v>
      </c>
      <c r="N12" s="1">
        <v>9</v>
      </c>
    </row>
    <row r="13" spans="1:16" x14ac:dyDescent="0.25">
      <c r="A13" s="1" t="s">
        <v>47</v>
      </c>
      <c r="B13" s="1" t="s">
        <v>78</v>
      </c>
      <c r="C13" s="1" t="s">
        <v>65</v>
      </c>
      <c r="D13" s="1" t="s">
        <v>131</v>
      </c>
      <c r="E13" s="1">
        <v>0</v>
      </c>
      <c r="F13" s="2">
        <v>44491</v>
      </c>
      <c r="G13" s="1">
        <v>65</v>
      </c>
      <c r="H13" s="1">
        <v>36</v>
      </c>
      <c r="I13" s="1">
        <v>23</v>
      </c>
      <c r="J13" s="3">
        <f>ROUND((4/3)*(G13/10)*(H13/10)*(I13/10),0)</f>
        <v>72</v>
      </c>
      <c r="K13" s="1">
        <v>1</v>
      </c>
      <c r="L13" s="1">
        <v>0</v>
      </c>
      <c r="M13" s="1">
        <f>IF(K13+L13=2,1,0)</f>
        <v>0</v>
      </c>
      <c r="N13" s="1">
        <v>13</v>
      </c>
    </row>
    <row r="14" spans="1:16" x14ac:dyDescent="0.25">
      <c r="A14" s="1" t="s">
        <v>23</v>
      </c>
      <c r="B14" s="1" t="s">
        <v>78</v>
      </c>
      <c r="C14" s="1" t="s">
        <v>66</v>
      </c>
      <c r="D14" s="1" t="s">
        <v>20</v>
      </c>
      <c r="E14" s="1">
        <v>3</v>
      </c>
      <c r="F14" s="2">
        <v>44498</v>
      </c>
      <c r="G14" s="3">
        <v>59</v>
      </c>
      <c r="H14" s="3">
        <v>32</v>
      </c>
      <c r="I14" s="3">
        <v>20</v>
      </c>
      <c r="J14" s="3">
        <f>ROUND((4/3)*(G14/10)*(H14/10)*(I14/10),0)</f>
        <v>50</v>
      </c>
      <c r="K14" s="1">
        <v>1</v>
      </c>
      <c r="L14" s="1">
        <v>1</v>
      </c>
      <c r="M14" s="1">
        <f>IF(K14+L14=2,1,0)</f>
        <v>1</v>
      </c>
      <c r="N14" s="1">
        <v>7</v>
      </c>
      <c r="O14" s="1">
        <v>15</v>
      </c>
      <c r="P14" s="1"/>
    </row>
    <row r="15" spans="1:16" x14ac:dyDescent="0.25">
      <c r="A15" s="1" t="s">
        <v>24</v>
      </c>
      <c r="B15" s="1" t="s">
        <v>78</v>
      </c>
      <c r="C15" s="1" t="s">
        <v>66</v>
      </c>
      <c r="D15" s="1" t="s">
        <v>20</v>
      </c>
      <c r="E15" s="1">
        <v>3</v>
      </c>
      <c r="F15" s="2">
        <v>44498</v>
      </c>
      <c r="G15" s="3">
        <v>59</v>
      </c>
      <c r="H15" s="3">
        <v>37</v>
      </c>
      <c r="I15" s="3">
        <v>22</v>
      </c>
      <c r="J15" s="3">
        <f>ROUND((4/3)*(G15/10)*(H15/10)*(I15/10),0)</f>
        <v>64</v>
      </c>
      <c r="K15" s="1">
        <v>1</v>
      </c>
      <c r="L15" s="1">
        <v>1</v>
      </c>
      <c r="M15" s="1">
        <f>IF(K15+L15=2,1,0)</f>
        <v>1</v>
      </c>
      <c r="N15" s="1">
        <v>8</v>
      </c>
      <c r="O15" s="1">
        <v>25</v>
      </c>
      <c r="P15" s="1"/>
    </row>
    <row r="16" spans="1:16" x14ac:dyDescent="0.25">
      <c r="A16" s="1" t="s">
        <v>25</v>
      </c>
      <c r="B16" s="1" t="s">
        <v>78</v>
      </c>
      <c r="C16" s="1" t="s">
        <v>66</v>
      </c>
      <c r="D16" s="1" t="s">
        <v>20</v>
      </c>
      <c r="E16" s="1">
        <v>3</v>
      </c>
      <c r="F16" s="2">
        <v>44498</v>
      </c>
      <c r="G16" s="3">
        <v>70</v>
      </c>
      <c r="H16" s="3">
        <v>39</v>
      </c>
      <c r="I16" s="3">
        <v>26</v>
      </c>
      <c r="J16" s="3">
        <f>ROUND((4/3)*(G16/10)*(H16/10)*(I16/10),0)</f>
        <v>95</v>
      </c>
      <c r="K16" s="1">
        <v>1</v>
      </c>
      <c r="L16" s="1">
        <v>1</v>
      </c>
      <c r="M16" s="1">
        <f>IF(K16+L16=2,1,0)</f>
        <v>1</v>
      </c>
      <c r="N16" s="1">
        <v>15</v>
      </c>
      <c r="O16" s="1">
        <v>14</v>
      </c>
      <c r="P16" s="1"/>
    </row>
    <row r="17" spans="1:16" x14ac:dyDescent="0.25">
      <c r="A17" s="1" t="s">
        <v>26</v>
      </c>
      <c r="B17" s="1" t="s">
        <v>78</v>
      </c>
      <c r="C17" s="1" t="s">
        <v>66</v>
      </c>
      <c r="D17" s="1" t="s">
        <v>20</v>
      </c>
      <c r="E17" s="1">
        <v>3</v>
      </c>
      <c r="F17" s="2">
        <v>44498</v>
      </c>
      <c r="G17" s="3">
        <v>66</v>
      </c>
      <c r="H17" s="3">
        <v>36</v>
      </c>
      <c r="I17" s="3">
        <v>24</v>
      </c>
      <c r="J17" s="3">
        <f>ROUND((4/3)*(G17/10)*(H17/10)*(I17/10),0)</f>
        <v>76</v>
      </c>
      <c r="K17" s="1">
        <v>1</v>
      </c>
      <c r="L17" s="1">
        <v>1</v>
      </c>
      <c r="M17" s="1">
        <f>IF(K17+L17=2,1,0)</f>
        <v>1</v>
      </c>
      <c r="N17" s="1">
        <v>12</v>
      </c>
      <c r="O17" s="1">
        <v>10</v>
      </c>
      <c r="P17" s="1"/>
    </row>
    <row r="18" spans="1:16" x14ac:dyDescent="0.25">
      <c r="A18" s="1" t="s">
        <v>27</v>
      </c>
      <c r="B18" s="1" t="s">
        <v>78</v>
      </c>
      <c r="C18" s="1" t="s">
        <v>66</v>
      </c>
      <c r="D18" s="1" t="s">
        <v>20</v>
      </c>
      <c r="E18" s="1">
        <v>3</v>
      </c>
      <c r="F18" s="2">
        <v>44498</v>
      </c>
      <c r="G18" s="3">
        <v>70</v>
      </c>
      <c r="H18" s="3">
        <v>40</v>
      </c>
      <c r="I18" s="3">
        <v>25</v>
      </c>
      <c r="J18" s="3">
        <f>ROUND((4/3)*(G18/10)*(H18/10)*(I18/10),0)</f>
        <v>93</v>
      </c>
      <c r="K18" s="1">
        <v>1</v>
      </c>
      <c r="L18" s="1">
        <v>1</v>
      </c>
      <c r="M18" s="1">
        <f>IF(K18+L18=2,1,0)</f>
        <v>1</v>
      </c>
      <c r="N18" s="1">
        <v>14</v>
      </c>
      <c r="O18" s="1">
        <v>26</v>
      </c>
      <c r="P18" s="1"/>
    </row>
    <row r="19" spans="1:16" x14ac:dyDescent="0.25">
      <c r="A19" s="1" t="s">
        <v>28</v>
      </c>
      <c r="B19" s="1" t="s">
        <v>78</v>
      </c>
      <c r="C19" s="1" t="s">
        <v>66</v>
      </c>
      <c r="D19" s="1" t="s">
        <v>20</v>
      </c>
      <c r="E19" s="1">
        <v>3</v>
      </c>
      <c r="F19" s="2">
        <v>44498</v>
      </c>
      <c r="G19" s="3">
        <v>76</v>
      </c>
      <c r="H19" s="3">
        <v>40</v>
      </c>
      <c r="I19" s="3">
        <v>27</v>
      </c>
      <c r="J19" s="3">
        <f>ROUND((4/3)*(G19/10)*(H19/10)*(I19/10),0)</f>
        <v>109</v>
      </c>
      <c r="K19" s="1">
        <v>1</v>
      </c>
      <c r="L19" s="1">
        <v>1</v>
      </c>
      <c r="M19" s="1">
        <f>IF(K19+L19=2,1,0)</f>
        <v>1</v>
      </c>
      <c r="N19" s="1">
        <v>8</v>
      </c>
      <c r="O19" s="1">
        <v>15</v>
      </c>
      <c r="P19" s="1"/>
    </row>
    <row r="20" spans="1:16" x14ac:dyDescent="0.25">
      <c r="A20" s="1" t="s">
        <v>29</v>
      </c>
      <c r="B20" s="1" t="s">
        <v>78</v>
      </c>
      <c r="C20" s="1" t="s">
        <v>66</v>
      </c>
      <c r="D20" s="1" t="s">
        <v>20</v>
      </c>
      <c r="E20" s="1">
        <v>1</v>
      </c>
      <c r="G20" s="3">
        <v>71</v>
      </c>
      <c r="H20" s="3">
        <v>38</v>
      </c>
      <c r="I20" s="3">
        <v>29</v>
      </c>
      <c r="J20" s="3">
        <f>ROUND((4/3)*(G20/10)*(H20/10)*(I20/10),0)</f>
        <v>104</v>
      </c>
      <c r="K20" s="1">
        <v>1</v>
      </c>
      <c r="L20" s="1">
        <v>0</v>
      </c>
      <c r="M20" s="1">
        <f>IF(K20+L20=2,1,0)</f>
        <v>0</v>
      </c>
      <c r="N20" s="1">
        <v>24</v>
      </c>
      <c r="P20" s="1"/>
    </row>
    <row r="21" spans="1:16" x14ac:dyDescent="0.25">
      <c r="A21" s="1" t="s">
        <v>30</v>
      </c>
      <c r="B21" s="1" t="s">
        <v>78</v>
      </c>
      <c r="C21" s="1" t="s">
        <v>66</v>
      </c>
      <c r="D21" s="1" t="s">
        <v>21</v>
      </c>
      <c r="E21" s="1">
        <v>1</v>
      </c>
      <c r="G21" s="3">
        <v>61</v>
      </c>
      <c r="H21" s="3">
        <v>31</v>
      </c>
      <c r="I21" s="3">
        <v>21</v>
      </c>
      <c r="J21" s="3">
        <f>ROUND((4/3)*(G21/10)*(H21/10)*(I21/10),0)</f>
        <v>53</v>
      </c>
      <c r="K21" s="1">
        <v>1</v>
      </c>
      <c r="L21" s="1">
        <v>0</v>
      </c>
      <c r="M21" s="1">
        <f>IF(K21+L21=2,1,0)</f>
        <v>0</v>
      </c>
      <c r="N21" s="1">
        <v>10</v>
      </c>
      <c r="P21" s="1"/>
    </row>
    <row r="22" spans="1:16" x14ac:dyDescent="0.25">
      <c r="A22" s="1" t="s">
        <v>31</v>
      </c>
      <c r="B22" s="1" t="s">
        <v>78</v>
      </c>
      <c r="C22" s="1" t="s">
        <v>66</v>
      </c>
      <c r="D22" s="1" t="s">
        <v>21</v>
      </c>
      <c r="E22" s="1">
        <v>3</v>
      </c>
      <c r="F22" s="2">
        <v>44498</v>
      </c>
      <c r="G22" s="3">
        <v>64</v>
      </c>
      <c r="H22" s="3">
        <v>35</v>
      </c>
      <c r="I22" s="3">
        <v>23</v>
      </c>
      <c r="J22" s="3">
        <f>ROUND((4/3)*(G22/10)*(H22/10)*(I22/10),0)</f>
        <v>69</v>
      </c>
      <c r="K22" s="1">
        <v>1</v>
      </c>
      <c r="L22" s="1">
        <v>1</v>
      </c>
      <c r="M22" s="1">
        <f>IF(K22+L22=2,1,0)</f>
        <v>1</v>
      </c>
      <c r="N22" s="1">
        <v>20</v>
      </c>
      <c r="O22" s="1">
        <v>7</v>
      </c>
      <c r="P22" s="1"/>
    </row>
    <row r="23" spans="1:16" x14ac:dyDescent="0.25">
      <c r="A23" s="1" t="s">
        <v>32</v>
      </c>
      <c r="B23" s="1" t="s">
        <v>78</v>
      </c>
      <c r="C23" s="1" t="s">
        <v>66</v>
      </c>
      <c r="D23" s="1" t="s">
        <v>21</v>
      </c>
      <c r="E23" s="1">
        <v>1</v>
      </c>
      <c r="G23" s="3">
        <v>55</v>
      </c>
      <c r="H23" s="3">
        <v>32</v>
      </c>
      <c r="I23" s="3">
        <v>21</v>
      </c>
      <c r="J23" s="3">
        <f>ROUND((4/3)*(G23/10)*(H23/10)*(I23/10),0)</f>
        <v>49</v>
      </c>
      <c r="K23" s="1">
        <v>1</v>
      </c>
      <c r="L23" s="1">
        <v>0</v>
      </c>
      <c r="M23" s="1">
        <f>IF(K23+L23=2,1,0)</f>
        <v>0</v>
      </c>
      <c r="N23" s="1">
        <v>8</v>
      </c>
      <c r="P23" s="1"/>
    </row>
    <row r="24" spans="1:16" x14ac:dyDescent="0.25">
      <c r="A24" s="1" t="s">
        <v>33</v>
      </c>
      <c r="B24" s="1" t="s">
        <v>78</v>
      </c>
      <c r="C24" s="1" t="s">
        <v>66</v>
      </c>
      <c r="D24" s="1" t="s">
        <v>21</v>
      </c>
      <c r="E24" s="1">
        <v>1</v>
      </c>
      <c r="G24" s="3">
        <v>55</v>
      </c>
      <c r="H24" s="3">
        <v>31</v>
      </c>
      <c r="I24" s="3">
        <v>20</v>
      </c>
      <c r="J24" s="3">
        <f>ROUND((4/3)*(G24/10)*(H24/10)*(I24/10),0)</f>
        <v>45</v>
      </c>
      <c r="K24" s="1">
        <v>1</v>
      </c>
      <c r="L24" s="1">
        <v>0</v>
      </c>
      <c r="M24" s="1">
        <f>IF(K24+L24=2,1,0)</f>
        <v>0</v>
      </c>
      <c r="N24" s="1">
        <v>7</v>
      </c>
      <c r="P24" s="1"/>
    </row>
    <row r="25" spans="1:16" x14ac:dyDescent="0.25">
      <c r="A25" s="1" t="s">
        <v>34</v>
      </c>
      <c r="B25" s="1" t="s">
        <v>78</v>
      </c>
      <c r="C25" s="1" t="s">
        <v>66</v>
      </c>
      <c r="D25" s="1" t="s">
        <v>21</v>
      </c>
      <c r="E25" s="1">
        <v>3</v>
      </c>
      <c r="F25" s="2">
        <v>44498</v>
      </c>
      <c r="G25" s="3">
        <v>56</v>
      </c>
      <c r="H25" s="3">
        <v>30</v>
      </c>
      <c r="I25" s="3">
        <v>24</v>
      </c>
      <c r="J25" s="3">
        <f>ROUND((4/3)*(G25/10)*(H25/10)*(I25/10),0)</f>
        <v>54</v>
      </c>
      <c r="K25" s="1">
        <v>1</v>
      </c>
      <c r="L25" s="1">
        <v>1</v>
      </c>
      <c r="M25" s="1">
        <f>IF(K25+L25=2,1,0)</f>
        <v>1</v>
      </c>
      <c r="N25" s="1">
        <v>16</v>
      </c>
      <c r="O25" s="1">
        <v>11</v>
      </c>
      <c r="P25" s="1"/>
    </row>
    <row r="26" spans="1:16" x14ac:dyDescent="0.25">
      <c r="A26" s="1" t="s">
        <v>35</v>
      </c>
      <c r="B26" s="1" t="s">
        <v>78</v>
      </c>
      <c r="C26" s="1" t="s">
        <v>66</v>
      </c>
      <c r="D26" s="1" t="s">
        <v>21</v>
      </c>
      <c r="E26" s="1">
        <v>3</v>
      </c>
      <c r="F26" s="2">
        <v>44498</v>
      </c>
      <c r="G26" s="3">
        <v>78</v>
      </c>
      <c r="H26" s="3">
        <v>41</v>
      </c>
      <c r="I26" s="3">
        <v>29</v>
      </c>
      <c r="J26" s="3">
        <f>ROUND((4/3)*(G26/10)*(H26/10)*(I26/10),0)</f>
        <v>124</v>
      </c>
      <c r="K26" s="1">
        <v>1</v>
      </c>
      <c r="L26" s="1">
        <v>1</v>
      </c>
      <c r="M26" s="1">
        <f>IF(K26+L26=2,1,0)</f>
        <v>1</v>
      </c>
      <c r="N26" s="1">
        <v>8</v>
      </c>
      <c r="O26" s="1">
        <v>8</v>
      </c>
      <c r="P26" s="1"/>
    </row>
    <row r="27" spans="1:16" x14ac:dyDescent="0.25">
      <c r="A27" s="1" t="s">
        <v>36</v>
      </c>
      <c r="B27" s="1" t="s">
        <v>78</v>
      </c>
      <c r="C27" s="1" t="s">
        <v>66</v>
      </c>
      <c r="D27" s="1" t="s">
        <v>21</v>
      </c>
      <c r="E27" s="1">
        <v>3</v>
      </c>
      <c r="F27" s="2">
        <v>44498</v>
      </c>
      <c r="G27" s="3">
        <v>59</v>
      </c>
      <c r="H27" s="3">
        <v>33</v>
      </c>
      <c r="I27" s="3">
        <v>21</v>
      </c>
      <c r="J27" s="3">
        <f>ROUND((4/3)*(G27/10)*(H27/10)*(I27/10),0)</f>
        <v>55</v>
      </c>
      <c r="K27" s="1">
        <v>1</v>
      </c>
      <c r="L27" s="1">
        <v>1</v>
      </c>
      <c r="M27" s="1">
        <f>IF(K27+L27=2,1,0)</f>
        <v>1</v>
      </c>
      <c r="N27" s="1">
        <v>11</v>
      </c>
      <c r="O27" s="1">
        <v>9</v>
      </c>
      <c r="P27" s="1"/>
    </row>
    <row r="28" spans="1:16" x14ac:dyDescent="0.25">
      <c r="A28" s="1" t="s">
        <v>37</v>
      </c>
      <c r="B28" s="1" t="s">
        <v>78</v>
      </c>
      <c r="C28" s="1" t="s">
        <v>66</v>
      </c>
      <c r="D28" s="1" t="s">
        <v>22</v>
      </c>
      <c r="E28" s="1">
        <v>1</v>
      </c>
      <c r="G28" s="3">
        <v>68</v>
      </c>
      <c r="H28" s="3">
        <v>38</v>
      </c>
      <c r="I28" s="3">
        <v>25</v>
      </c>
      <c r="J28" s="3">
        <f>ROUND((4/3)*(G28/10)*(H28/10)*(I28/10),0)</f>
        <v>86</v>
      </c>
      <c r="K28" s="1">
        <v>1</v>
      </c>
      <c r="L28" s="1">
        <v>0</v>
      </c>
      <c r="M28" s="1">
        <f>IF(K28+L28=2,1,0)</f>
        <v>0</v>
      </c>
      <c r="N28" s="1">
        <v>7</v>
      </c>
      <c r="P28" s="1"/>
    </row>
    <row r="29" spans="1:16" x14ac:dyDescent="0.25">
      <c r="A29" s="1" t="s">
        <v>38</v>
      </c>
      <c r="B29" s="1" t="s">
        <v>78</v>
      </c>
      <c r="C29" s="1" t="s">
        <v>66</v>
      </c>
      <c r="D29" s="1" t="s">
        <v>22</v>
      </c>
      <c r="E29" s="1">
        <v>3</v>
      </c>
      <c r="F29" s="2">
        <v>44498</v>
      </c>
      <c r="G29" s="3">
        <v>58</v>
      </c>
      <c r="H29" s="3">
        <v>32</v>
      </c>
      <c r="I29" s="3">
        <v>20</v>
      </c>
      <c r="J29" s="3">
        <f>ROUND((4/3)*(G29/10)*(H29/10)*(I29/10),0)</f>
        <v>49</v>
      </c>
      <c r="K29" s="1">
        <v>1</v>
      </c>
      <c r="L29" s="1">
        <v>0</v>
      </c>
      <c r="M29" s="1">
        <f>IF(K29+L29=2,1,0)</f>
        <v>0</v>
      </c>
      <c r="N29" s="1">
        <v>16</v>
      </c>
      <c r="P29" s="1"/>
    </row>
    <row r="30" spans="1:16" x14ac:dyDescent="0.25">
      <c r="A30" s="1" t="s">
        <v>39</v>
      </c>
      <c r="B30" s="1" t="s">
        <v>78</v>
      </c>
      <c r="C30" s="1" t="s">
        <v>66</v>
      </c>
      <c r="D30" s="1" t="s">
        <v>22</v>
      </c>
      <c r="E30" s="1">
        <v>1</v>
      </c>
      <c r="G30" s="3">
        <v>55</v>
      </c>
      <c r="H30" s="3">
        <v>30</v>
      </c>
      <c r="I30" s="3">
        <v>21</v>
      </c>
      <c r="J30" s="3">
        <f>ROUND((4/3)*(G30/10)*(H30/10)*(I30/10),0)</f>
        <v>46</v>
      </c>
      <c r="K30" s="1">
        <v>1</v>
      </c>
      <c r="L30" s="1">
        <v>0</v>
      </c>
      <c r="M30" s="1">
        <f>IF(K30+L30=2,1,0)</f>
        <v>0</v>
      </c>
      <c r="N30" s="1">
        <v>15</v>
      </c>
      <c r="P30" s="1"/>
    </row>
    <row r="31" spans="1:16" x14ac:dyDescent="0.25">
      <c r="A31" s="1" t="s">
        <v>40</v>
      </c>
      <c r="B31" s="1" t="s">
        <v>78</v>
      </c>
      <c r="C31" s="1" t="s">
        <v>66</v>
      </c>
      <c r="D31" s="1" t="s">
        <v>22</v>
      </c>
      <c r="E31" s="1">
        <v>1</v>
      </c>
      <c r="G31" s="3">
        <v>65</v>
      </c>
      <c r="H31" s="3">
        <v>34</v>
      </c>
      <c r="I31" s="3">
        <v>23</v>
      </c>
      <c r="J31" s="3">
        <f>ROUND((4/3)*(G31/10)*(H31/10)*(I31/10),0)</f>
        <v>68</v>
      </c>
      <c r="K31" s="1">
        <v>1</v>
      </c>
      <c r="L31" s="1">
        <v>0</v>
      </c>
      <c r="M31" s="1">
        <f>IF(K31+L31=2,1,0)</f>
        <v>0</v>
      </c>
      <c r="N31" s="1">
        <v>9</v>
      </c>
    </row>
    <row r="32" spans="1:16" x14ac:dyDescent="0.25">
      <c r="A32" s="1" t="s">
        <v>41</v>
      </c>
      <c r="B32" s="1" t="s">
        <v>78</v>
      </c>
      <c r="C32" s="1" t="s">
        <v>66</v>
      </c>
      <c r="D32" s="1" t="s">
        <v>22</v>
      </c>
      <c r="E32" s="1">
        <v>3</v>
      </c>
      <c r="F32" s="2">
        <v>44498</v>
      </c>
      <c r="G32" s="3">
        <v>59</v>
      </c>
      <c r="H32" s="3">
        <v>32</v>
      </c>
      <c r="I32" s="3">
        <v>24</v>
      </c>
      <c r="J32" s="3">
        <f>ROUND((4/3)*(G32/10)*(H32/10)*(I32/10),0)</f>
        <v>60</v>
      </c>
      <c r="K32" s="1">
        <v>1</v>
      </c>
      <c r="L32" s="1">
        <v>0</v>
      </c>
      <c r="M32" s="1">
        <f>IF(K32+L32=2,1,0)</f>
        <v>0</v>
      </c>
      <c r="N32" s="1">
        <v>14</v>
      </c>
    </row>
    <row r="33" spans="1:14" x14ac:dyDescent="0.25">
      <c r="A33" s="1" t="s">
        <v>42</v>
      </c>
      <c r="B33" s="1" t="s">
        <v>78</v>
      </c>
      <c r="C33" s="1" t="s">
        <v>66</v>
      </c>
      <c r="D33" s="1" t="s">
        <v>22</v>
      </c>
      <c r="E33" s="1">
        <v>3</v>
      </c>
      <c r="F33" s="2">
        <v>44498</v>
      </c>
      <c r="G33" s="3">
        <v>67</v>
      </c>
      <c r="H33" s="3">
        <v>35</v>
      </c>
      <c r="I33" s="3">
        <v>25</v>
      </c>
      <c r="J33" s="3">
        <f>ROUND((4/3)*(G33/10)*(H33/10)*(I33/10),0)</f>
        <v>78</v>
      </c>
      <c r="K33" s="1">
        <v>1</v>
      </c>
      <c r="L33" s="1">
        <v>0</v>
      </c>
      <c r="M33" s="1">
        <f>IF(K33+L33=2,1,0)</f>
        <v>0</v>
      </c>
      <c r="N33" s="1">
        <v>8</v>
      </c>
    </row>
    <row r="34" spans="1:14" x14ac:dyDescent="0.25">
      <c r="A34" s="1" t="s">
        <v>43</v>
      </c>
      <c r="B34" s="1" t="s">
        <v>78</v>
      </c>
      <c r="C34" s="1" t="s">
        <v>66</v>
      </c>
      <c r="D34" s="1" t="s">
        <v>22</v>
      </c>
      <c r="E34" s="1">
        <v>3</v>
      </c>
      <c r="F34" s="2">
        <v>44498</v>
      </c>
      <c r="G34" s="3">
        <v>46</v>
      </c>
      <c r="H34" s="3">
        <v>26</v>
      </c>
      <c r="I34" s="3">
        <v>15</v>
      </c>
      <c r="J34" s="3">
        <f>ROUND((4/3)*(G34/10)*(H34/10)*(I34/10),0)</f>
        <v>24</v>
      </c>
      <c r="K34" s="1">
        <v>1</v>
      </c>
      <c r="L34" s="1">
        <v>0</v>
      </c>
      <c r="M34" s="1">
        <f>IF(K34+L34=2,1,0)</f>
        <v>0</v>
      </c>
      <c r="N34" s="1">
        <v>5</v>
      </c>
    </row>
    <row r="35" spans="1:14" x14ac:dyDescent="0.25">
      <c r="A35" s="1" t="s">
        <v>44</v>
      </c>
      <c r="B35" s="1" t="s">
        <v>78</v>
      </c>
      <c r="C35" s="1" t="s">
        <v>66</v>
      </c>
      <c r="D35" s="1" t="s">
        <v>22</v>
      </c>
      <c r="E35" s="1">
        <v>3</v>
      </c>
      <c r="F35" s="2">
        <v>44498</v>
      </c>
      <c r="G35" s="3">
        <v>55</v>
      </c>
      <c r="H35" s="3">
        <v>32</v>
      </c>
      <c r="I35" s="3">
        <v>20</v>
      </c>
      <c r="J35" s="3">
        <f>ROUND((4/3)*(G35/10)*(H35/10)*(I35/10),0)</f>
        <v>47</v>
      </c>
      <c r="K35" s="1">
        <v>1</v>
      </c>
      <c r="L35" s="1">
        <v>0</v>
      </c>
      <c r="M35" s="1">
        <f>IF(K35+L35=2,1,0)</f>
        <v>0</v>
      </c>
      <c r="N35" s="1">
        <v>6</v>
      </c>
    </row>
    <row r="36" spans="1:14" x14ac:dyDescent="0.25">
      <c r="A36" s="1" t="s">
        <v>48</v>
      </c>
      <c r="B36" s="1" t="s">
        <v>78</v>
      </c>
      <c r="C36" s="1" t="s">
        <v>65</v>
      </c>
      <c r="D36" s="1" t="s">
        <v>20</v>
      </c>
      <c r="E36" s="1">
        <v>1</v>
      </c>
      <c r="F36" s="2">
        <v>44496</v>
      </c>
      <c r="G36" s="3">
        <v>72</v>
      </c>
      <c r="H36" s="3">
        <v>42</v>
      </c>
      <c r="I36" s="3">
        <v>25</v>
      </c>
      <c r="J36" s="3">
        <f>ROUND((4/3)*(G36/10)*(H36/10)*(I36/10),0)</f>
        <v>101</v>
      </c>
      <c r="K36" s="1">
        <v>0</v>
      </c>
      <c r="L36" s="1">
        <v>0</v>
      </c>
      <c r="M36" s="1">
        <f>IF(K36+L36=2,1,0)</f>
        <v>0</v>
      </c>
    </row>
    <row r="37" spans="1:14" x14ac:dyDescent="0.25">
      <c r="A37" s="1" t="s">
        <v>49</v>
      </c>
      <c r="B37" s="1" t="s">
        <v>78</v>
      </c>
      <c r="C37" s="1" t="s">
        <v>65</v>
      </c>
      <c r="D37" s="1" t="s">
        <v>20</v>
      </c>
      <c r="E37" s="1">
        <v>1</v>
      </c>
      <c r="F37" s="2">
        <v>44496</v>
      </c>
      <c r="G37" s="3">
        <v>64</v>
      </c>
      <c r="H37" s="3">
        <v>30</v>
      </c>
      <c r="I37" s="3">
        <v>22</v>
      </c>
      <c r="J37" s="3">
        <f>ROUND((4/3)*(G37/10)*(H37/10)*(I37/10),0)</f>
        <v>56</v>
      </c>
      <c r="K37" s="1">
        <v>0</v>
      </c>
      <c r="L37" s="1">
        <v>0</v>
      </c>
      <c r="M37" s="1">
        <f>IF(K37+L37=2,1,0)</f>
        <v>0</v>
      </c>
    </row>
    <row r="38" spans="1:14" x14ac:dyDescent="0.25">
      <c r="A38" s="1" t="s">
        <v>50</v>
      </c>
      <c r="B38" s="1" t="s">
        <v>78</v>
      </c>
      <c r="C38" s="1" t="s">
        <v>65</v>
      </c>
      <c r="D38" s="1" t="s">
        <v>20</v>
      </c>
      <c r="E38" s="1">
        <v>1</v>
      </c>
      <c r="F38" s="2">
        <v>44496</v>
      </c>
      <c r="G38" s="3">
        <v>57</v>
      </c>
      <c r="H38" s="3">
        <v>31</v>
      </c>
      <c r="I38" s="3">
        <v>20</v>
      </c>
      <c r="J38" s="3">
        <f>ROUND((4/3)*(G38/10)*(H38/10)*(I38/10),0)</f>
        <v>47</v>
      </c>
      <c r="K38" s="1">
        <v>0</v>
      </c>
      <c r="L38" s="1">
        <v>0</v>
      </c>
      <c r="M38" s="1">
        <f>IF(K38+L38=2,1,0)</f>
        <v>0</v>
      </c>
    </row>
    <row r="39" spans="1:14" x14ac:dyDescent="0.25">
      <c r="A39" s="1" t="s">
        <v>51</v>
      </c>
      <c r="B39" s="1" t="s">
        <v>78</v>
      </c>
      <c r="C39" s="1" t="s">
        <v>65</v>
      </c>
      <c r="D39" s="1" t="s">
        <v>20</v>
      </c>
      <c r="E39" s="1">
        <v>1</v>
      </c>
      <c r="F39" s="2">
        <v>44496</v>
      </c>
      <c r="G39" s="3">
        <v>61</v>
      </c>
      <c r="H39" s="3">
        <v>39</v>
      </c>
      <c r="I39" s="3">
        <v>22</v>
      </c>
      <c r="J39" s="3">
        <f>ROUND((4/3)*(G39/10)*(H39/10)*(I39/10),0)</f>
        <v>70</v>
      </c>
      <c r="K39" s="1">
        <v>0</v>
      </c>
      <c r="L39" s="1">
        <v>0</v>
      </c>
      <c r="M39" s="1">
        <f>IF(K39+L39=2,1,0)</f>
        <v>0</v>
      </c>
    </row>
    <row r="40" spans="1:14" x14ac:dyDescent="0.25">
      <c r="A40" s="1" t="s">
        <v>52</v>
      </c>
      <c r="B40" s="1" t="s">
        <v>78</v>
      </c>
      <c r="C40" s="1" t="s">
        <v>65</v>
      </c>
      <c r="D40" s="1" t="s">
        <v>20</v>
      </c>
      <c r="E40" s="1">
        <v>1</v>
      </c>
      <c r="F40" s="2">
        <v>44496</v>
      </c>
      <c r="G40" s="3">
        <v>59</v>
      </c>
      <c r="H40" s="3">
        <v>30</v>
      </c>
      <c r="I40" s="3">
        <v>21</v>
      </c>
      <c r="J40" s="3">
        <f>ROUND((4/3)*(G40/10)*(H40/10)*(I40/10),0)</f>
        <v>50</v>
      </c>
      <c r="K40" s="1">
        <v>0</v>
      </c>
      <c r="L40" s="1">
        <v>0</v>
      </c>
      <c r="M40" s="1">
        <f>IF(K40+L40=2,1,0)</f>
        <v>0</v>
      </c>
    </row>
    <row r="41" spans="1:14" x14ac:dyDescent="0.25">
      <c r="A41" s="1" t="s">
        <v>53</v>
      </c>
      <c r="B41" s="1" t="s">
        <v>78</v>
      </c>
      <c r="C41" s="1" t="s">
        <v>65</v>
      </c>
      <c r="D41" s="1" t="s">
        <v>21</v>
      </c>
      <c r="E41" s="1">
        <v>1</v>
      </c>
      <c r="F41" s="2">
        <v>44498</v>
      </c>
      <c r="G41" s="3">
        <v>55</v>
      </c>
      <c r="H41" s="3">
        <v>28</v>
      </c>
      <c r="I41" s="3">
        <v>20</v>
      </c>
      <c r="J41" s="3">
        <f>ROUND((4/3)*(G41/10)*(H41/10)*(I41/10),0)</f>
        <v>41</v>
      </c>
      <c r="K41" s="1">
        <v>1</v>
      </c>
      <c r="L41" s="1">
        <v>0</v>
      </c>
      <c r="M41" s="1">
        <f>IF(K41+L41=2,1,0)</f>
        <v>0</v>
      </c>
      <c r="N41" s="1">
        <v>15</v>
      </c>
    </row>
    <row r="42" spans="1:14" x14ac:dyDescent="0.25">
      <c r="A42" s="1" t="s">
        <v>54</v>
      </c>
      <c r="B42" s="1" t="s">
        <v>78</v>
      </c>
      <c r="C42" s="1" t="s">
        <v>65</v>
      </c>
      <c r="D42" s="1" t="s">
        <v>21</v>
      </c>
      <c r="E42" s="1">
        <v>1</v>
      </c>
      <c r="F42" s="2">
        <v>44498</v>
      </c>
      <c r="G42" s="3">
        <v>64</v>
      </c>
      <c r="H42" s="3">
        <v>32</v>
      </c>
      <c r="I42" s="3">
        <v>22</v>
      </c>
      <c r="J42" s="3">
        <f>ROUND((4/3)*(G42/10)*(H42/10)*(I42/10),0)</f>
        <v>60</v>
      </c>
      <c r="K42" s="1">
        <v>1</v>
      </c>
      <c r="L42" s="1">
        <v>0</v>
      </c>
      <c r="M42" s="1">
        <f>IF(K42+L42=2,1,0)</f>
        <v>0</v>
      </c>
      <c r="N42" s="1">
        <v>17</v>
      </c>
    </row>
    <row r="43" spans="1:14" x14ac:dyDescent="0.25">
      <c r="A43" s="1" t="s">
        <v>55</v>
      </c>
      <c r="B43" s="1" t="s">
        <v>78</v>
      </c>
      <c r="C43" s="1" t="s">
        <v>65</v>
      </c>
      <c r="D43" s="1" t="s">
        <v>21</v>
      </c>
      <c r="E43" s="1">
        <v>1</v>
      </c>
      <c r="F43" s="2">
        <v>44498</v>
      </c>
      <c r="G43" s="3">
        <v>56</v>
      </c>
      <c r="H43" s="3">
        <v>30</v>
      </c>
      <c r="I43" s="3">
        <v>18</v>
      </c>
      <c r="J43" s="3">
        <f>ROUND((4/3)*(G43/10)*(H43/10)*(I43/10),0)</f>
        <v>40</v>
      </c>
      <c r="K43" s="1">
        <v>1</v>
      </c>
      <c r="L43" s="1">
        <v>0</v>
      </c>
      <c r="M43" s="1">
        <f>IF(K43+L43=2,1,0)</f>
        <v>0</v>
      </c>
      <c r="N43" s="1">
        <v>14</v>
      </c>
    </row>
    <row r="44" spans="1:14" x14ac:dyDescent="0.25">
      <c r="A44" s="1" t="s">
        <v>56</v>
      </c>
      <c r="B44" s="1" t="s">
        <v>78</v>
      </c>
      <c r="C44" s="1" t="s">
        <v>65</v>
      </c>
      <c r="D44" s="1" t="s">
        <v>21</v>
      </c>
      <c r="E44" s="1">
        <v>1</v>
      </c>
      <c r="F44" s="2">
        <v>44498</v>
      </c>
      <c r="G44" s="3">
        <v>68</v>
      </c>
      <c r="H44" s="3">
        <v>36</v>
      </c>
      <c r="I44" s="3">
        <v>22</v>
      </c>
      <c r="J44" s="3">
        <f>ROUND((4/3)*(G44/10)*(H44/10)*(I44/10),0)</f>
        <v>72</v>
      </c>
      <c r="K44" s="1">
        <v>1</v>
      </c>
      <c r="L44" s="1">
        <v>0</v>
      </c>
      <c r="M44" s="1">
        <f>IF(K44+L44=2,1,0)</f>
        <v>0</v>
      </c>
      <c r="N44" s="1">
        <v>7</v>
      </c>
    </row>
    <row r="45" spans="1:14" x14ac:dyDescent="0.25">
      <c r="A45" s="1" t="s">
        <v>57</v>
      </c>
      <c r="B45" s="1" t="s">
        <v>78</v>
      </c>
      <c r="C45" s="1" t="s">
        <v>65</v>
      </c>
      <c r="D45" s="1" t="s">
        <v>21</v>
      </c>
      <c r="E45" s="1">
        <v>1</v>
      </c>
      <c r="F45" s="2">
        <v>44498</v>
      </c>
      <c r="G45" s="3">
        <v>60</v>
      </c>
      <c r="H45" s="3">
        <v>32</v>
      </c>
      <c r="I45" s="3">
        <v>21</v>
      </c>
      <c r="J45" s="3">
        <f>ROUND((4/3)*(G45/10)*(H45/10)*(I45/10),0)</f>
        <v>54</v>
      </c>
      <c r="K45" s="1">
        <v>1</v>
      </c>
      <c r="L45" s="1">
        <v>0</v>
      </c>
      <c r="M45" s="1">
        <f>IF(K45+L45=2,1,0)</f>
        <v>0</v>
      </c>
      <c r="N45" s="1">
        <v>7</v>
      </c>
    </row>
    <row r="46" spans="1:14" x14ac:dyDescent="0.25">
      <c r="A46" s="1" t="s">
        <v>58</v>
      </c>
      <c r="B46" s="1" t="s">
        <v>78</v>
      </c>
      <c r="C46" s="1" t="s">
        <v>65</v>
      </c>
      <c r="D46" s="1" t="s">
        <v>22</v>
      </c>
      <c r="E46" s="1">
        <v>1</v>
      </c>
      <c r="F46" s="2">
        <v>44496</v>
      </c>
      <c r="G46" s="3">
        <v>72</v>
      </c>
      <c r="H46" s="3">
        <v>37</v>
      </c>
      <c r="I46" s="3">
        <v>24</v>
      </c>
      <c r="J46" s="3">
        <f>ROUND((4/3)*(G46/10)*(H46/10)*(I46/10),0)</f>
        <v>85</v>
      </c>
      <c r="K46" s="1">
        <v>0</v>
      </c>
      <c r="L46" s="1">
        <v>0</v>
      </c>
      <c r="M46" s="1">
        <f>IF(K46+L46=2,1,0)</f>
        <v>0</v>
      </c>
    </row>
    <row r="47" spans="1:14" x14ac:dyDescent="0.25">
      <c r="A47" s="1" t="s">
        <v>59</v>
      </c>
      <c r="B47" s="1" t="s">
        <v>78</v>
      </c>
      <c r="C47" s="1" t="s">
        <v>65</v>
      </c>
      <c r="D47" s="1" t="s">
        <v>22</v>
      </c>
      <c r="E47" s="1">
        <v>1</v>
      </c>
      <c r="F47" s="2">
        <v>44496</v>
      </c>
      <c r="G47" s="3">
        <v>58</v>
      </c>
      <c r="H47" s="3">
        <v>32</v>
      </c>
      <c r="I47" s="3">
        <v>19</v>
      </c>
      <c r="J47" s="3">
        <f>ROUND((4/3)*(G47/10)*(H47/10)*(I47/10),0)</f>
        <v>47</v>
      </c>
      <c r="K47" s="1">
        <v>0</v>
      </c>
      <c r="L47" s="1">
        <v>0</v>
      </c>
      <c r="M47" s="1">
        <f>IF(K47+L47=2,1,0)</f>
        <v>0</v>
      </c>
    </row>
    <row r="48" spans="1:14" x14ac:dyDescent="0.25">
      <c r="A48" s="1" t="s">
        <v>60</v>
      </c>
      <c r="B48" s="1" t="s">
        <v>78</v>
      </c>
      <c r="C48" s="1" t="s">
        <v>65</v>
      </c>
      <c r="D48" s="1" t="s">
        <v>22</v>
      </c>
      <c r="E48" s="1">
        <v>1</v>
      </c>
      <c r="F48" s="2">
        <v>44496</v>
      </c>
      <c r="G48" s="3">
        <v>65</v>
      </c>
      <c r="H48" s="3">
        <v>36</v>
      </c>
      <c r="I48" s="3">
        <v>24</v>
      </c>
      <c r="J48" s="3">
        <f>ROUND((4/3)*(G48/10)*(H48/10)*(I48/10),0)</f>
        <v>75</v>
      </c>
      <c r="K48" s="1">
        <v>0</v>
      </c>
      <c r="L48" s="1">
        <v>0</v>
      </c>
      <c r="M48" s="1">
        <f>IF(K48+L48=2,1,0)</f>
        <v>0</v>
      </c>
    </row>
    <row r="49" spans="1:15" x14ac:dyDescent="0.25">
      <c r="A49" s="1" t="s">
        <v>61</v>
      </c>
      <c r="B49" s="1" t="s">
        <v>78</v>
      </c>
      <c r="C49" s="1" t="s">
        <v>65</v>
      </c>
      <c r="D49" s="1" t="s">
        <v>22</v>
      </c>
      <c r="E49" s="1">
        <v>1</v>
      </c>
      <c r="F49" s="2">
        <v>44496</v>
      </c>
      <c r="G49" s="3">
        <v>46</v>
      </c>
      <c r="H49" s="3">
        <v>27</v>
      </c>
      <c r="I49" s="3">
        <v>16</v>
      </c>
      <c r="J49" s="3">
        <f>ROUND((4/3)*(G49/10)*(H49/10)*(I49/10),0)</f>
        <v>26</v>
      </c>
      <c r="K49" s="1">
        <v>0</v>
      </c>
      <c r="L49" s="1">
        <v>0</v>
      </c>
      <c r="M49" s="1">
        <f>IF(K49+L49=2,1,0)</f>
        <v>0</v>
      </c>
    </row>
    <row r="50" spans="1:15" x14ac:dyDescent="0.25">
      <c r="A50" s="1" t="s">
        <v>62</v>
      </c>
      <c r="B50" s="1" t="s">
        <v>78</v>
      </c>
      <c r="C50" s="1" t="s">
        <v>65</v>
      </c>
      <c r="D50" s="1" t="s">
        <v>22</v>
      </c>
      <c r="E50" s="1">
        <v>1</v>
      </c>
      <c r="F50" s="2">
        <v>44496</v>
      </c>
      <c r="G50" s="3">
        <v>57</v>
      </c>
      <c r="H50" s="3">
        <v>30</v>
      </c>
      <c r="I50" s="3">
        <v>18</v>
      </c>
      <c r="J50" s="3">
        <f>ROUND((4/3)*(G50/10)*(H50/10)*(I50/10),0)</f>
        <v>41</v>
      </c>
      <c r="K50" s="1">
        <v>0</v>
      </c>
      <c r="L50" s="1">
        <v>0</v>
      </c>
      <c r="M50" s="1">
        <f>IF(K50+L50=2,1,0)</f>
        <v>0</v>
      </c>
    </row>
    <row r="51" spans="1:15" x14ac:dyDescent="0.25">
      <c r="A51" s="1" t="s">
        <v>86</v>
      </c>
      <c r="B51" s="1" t="s">
        <v>78</v>
      </c>
      <c r="C51" s="1" t="s">
        <v>65</v>
      </c>
      <c r="D51" s="1" t="s">
        <v>21</v>
      </c>
      <c r="E51" s="1">
        <v>3</v>
      </c>
      <c r="F51" s="2">
        <v>44498</v>
      </c>
      <c r="G51" s="3">
        <v>52</v>
      </c>
      <c r="H51" s="1">
        <v>32</v>
      </c>
      <c r="I51" s="1">
        <v>21</v>
      </c>
      <c r="J51" s="3">
        <f>ROUND((4/3)*(G51/10)*(H51/10)*(I51/10),0)</f>
        <v>47</v>
      </c>
      <c r="K51" s="1">
        <v>0</v>
      </c>
      <c r="L51" s="1">
        <v>1</v>
      </c>
      <c r="M51" s="1">
        <f>IF(K51+L51=2,1,0)</f>
        <v>0</v>
      </c>
      <c r="O51" s="1">
        <v>18</v>
      </c>
    </row>
    <row r="52" spans="1:15" x14ac:dyDescent="0.25">
      <c r="A52" s="1" t="s">
        <v>87</v>
      </c>
      <c r="B52" s="1" t="s">
        <v>78</v>
      </c>
      <c r="C52" s="1" t="s">
        <v>65</v>
      </c>
      <c r="D52" s="1" t="s">
        <v>22</v>
      </c>
      <c r="E52" s="1">
        <v>3</v>
      </c>
      <c r="F52" s="2">
        <v>44498</v>
      </c>
      <c r="G52" s="3">
        <v>61</v>
      </c>
      <c r="H52" s="1">
        <v>31</v>
      </c>
      <c r="I52" s="1">
        <v>22</v>
      </c>
      <c r="J52" s="3">
        <f>ROUND((4/3)*(G52/10)*(H52/10)*(I52/10),0)</f>
        <v>55</v>
      </c>
      <c r="K52" s="1">
        <v>0</v>
      </c>
      <c r="L52" s="1">
        <v>0</v>
      </c>
      <c r="M52" s="1">
        <f>IF(K52+L52=2,1,0)</f>
        <v>0</v>
      </c>
    </row>
    <row r="53" spans="1:15" x14ac:dyDescent="0.25">
      <c r="A53" s="1" t="s">
        <v>88</v>
      </c>
      <c r="B53" s="1" t="s">
        <v>78</v>
      </c>
      <c r="C53" s="1" t="s">
        <v>65</v>
      </c>
      <c r="D53" s="1" t="s">
        <v>22</v>
      </c>
      <c r="E53" s="1">
        <v>3</v>
      </c>
      <c r="F53" s="2">
        <v>44498</v>
      </c>
      <c r="G53" s="3">
        <v>68</v>
      </c>
      <c r="H53" s="1">
        <v>35</v>
      </c>
      <c r="I53" s="1">
        <v>26</v>
      </c>
      <c r="J53" s="3">
        <f>ROUND((4/3)*(G53/10)*(H53/10)*(I53/10),0)</f>
        <v>83</v>
      </c>
      <c r="K53" s="1">
        <v>0</v>
      </c>
      <c r="L53" s="1">
        <v>0</v>
      </c>
      <c r="M53" s="1">
        <f>IF(K53+L53=2,1,0)</f>
        <v>0</v>
      </c>
    </row>
    <row r="54" spans="1:15" x14ac:dyDescent="0.25">
      <c r="A54" s="1" t="s">
        <v>89</v>
      </c>
      <c r="B54" s="1" t="s">
        <v>78</v>
      </c>
      <c r="C54" s="1" t="s">
        <v>65</v>
      </c>
      <c r="D54" s="1" t="s">
        <v>22</v>
      </c>
      <c r="E54" s="1">
        <v>3</v>
      </c>
      <c r="F54" s="2">
        <v>44498</v>
      </c>
      <c r="G54" s="3">
        <v>61</v>
      </c>
      <c r="H54" s="1">
        <v>35</v>
      </c>
      <c r="I54" s="1">
        <v>20</v>
      </c>
      <c r="J54" s="3">
        <f>ROUND((4/3)*(G54/10)*(H54/10)*(I54/10),0)</f>
        <v>57</v>
      </c>
      <c r="K54" s="1">
        <v>0</v>
      </c>
      <c r="L54" s="1">
        <v>0</v>
      </c>
      <c r="M54" s="1">
        <f>IF(K54+L54=2,1,0)</f>
        <v>0</v>
      </c>
    </row>
    <row r="55" spans="1:15" x14ac:dyDescent="0.25">
      <c r="A55" s="1" t="s">
        <v>90</v>
      </c>
      <c r="B55" s="1" t="s">
        <v>78</v>
      </c>
      <c r="C55" s="1" t="s">
        <v>65</v>
      </c>
      <c r="D55" s="1" t="s">
        <v>22</v>
      </c>
      <c r="E55" s="1">
        <v>3</v>
      </c>
      <c r="F55" s="2">
        <v>44498</v>
      </c>
      <c r="G55" s="3">
        <v>63</v>
      </c>
      <c r="H55" s="1">
        <v>34</v>
      </c>
      <c r="I55" s="1">
        <v>21</v>
      </c>
      <c r="J55" s="3">
        <f>ROUND((4/3)*(G55/10)*(H55/10)*(I55/10),0)</f>
        <v>60</v>
      </c>
      <c r="K55" s="1">
        <v>0</v>
      </c>
      <c r="L55" s="1">
        <v>0</v>
      </c>
      <c r="M55" s="1">
        <f>IF(K55+L55=2,1,0)</f>
        <v>0</v>
      </c>
    </row>
    <row r="56" spans="1:15" x14ac:dyDescent="0.25">
      <c r="A56" s="1" t="s">
        <v>91</v>
      </c>
      <c r="B56" s="1" t="s">
        <v>78</v>
      </c>
      <c r="C56" s="1" t="s">
        <v>65</v>
      </c>
      <c r="D56" s="1" t="s">
        <v>22</v>
      </c>
      <c r="E56" s="1">
        <v>3</v>
      </c>
      <c r="F56" s="2">
        <v>44498</v>
      </c>
      <c r="G56" s="3">
        <v>61</v>
      </c>
      <c r="H56" s="1">
        <v>34</v>
      </c>
      <c r="I56" s="1">
        <v>23</v>
      </c>
      <c r="J56" s="3">
        <f>ROUND((4/3)*(G56/10)*(H56/10)*(I56/10),0)</f>
        <v>64</v>
      </c>
      <c r="K56" s="1">
        <v>0</v>
      </c>
      <c r="L56" s="1">
        <v>0</v>
      </c>
      <c r="M56" s="1">
        <f>IF(K56+L56=2,1,0)</f>
        <v>0</v>
      </c>
    </row>
    <row r="57" spans="1:15" x14ac:dyDescent="0.25">
      <c r="A57" s="1" t="s">
        <v>92</v>
      </c>
      <c r="B57" s="1" t="s">
        <v>78</v>
      </c>
      <c r="C57" s="1" t="s">
        <v>65</v>
      </c>
      <c r="D57" s="1" t="s">
        <v>20</v>
      </c>
      <c r="E57" s="1">
        <v>3</v>
      </c>
      <c r="F57" s="2">
        <v>44498</v>
      </c>
      <c r="G57" s="3">
        <v>58</v>
      </c>
      <c r="H57" s="1">
        <v>31</v>
      </c>
      <c r="I57" s="1">
        <v>22</v>
      </c>
      <c r="J57" s="3">
        <f>ROUND((4/3)*(G57/10)*(H57/10)*(I57/10),0)</f>
        <v>53</v>
      </c>
      <c r="K57" s="1">
        <v>0</v>
      </c>
      <c r="L57" s="1">
        <v>1</v>
      </c>
      <c r="M57" s="1">
        <f>IF(K57+L57=2,1,0)</f>
        <v>0</v>
      </c>
      <c r="O57" s="1">
        <v>16</v>
      </c>
    </row>
    <row r="58" spans="1:15" x14ac:dyDescent="0.25">
      <c r="A58" s="1" t="s">
        <v>93</v>
      </c>
      <c r="B58" s="1" t="s">
        <v>78</v>
      </c>
      <c r="C58" s="1" t="s">
        <v>65</v>
      </c>
      <c r="D58" s="1" t="s">
        <v>20</v>
      </c>
      <c r="E58" s="1">
        <v>3</v>
      </c>
      <c r="F58" s="2">
        <v>44498</v>
      </c>
      <c r="G58" s="3">
        <v>58</v>
      </c>
      <c r="H58" s="1">
        <v>31</v>
      </c>
      <c r="I58" s="1">
        <v>25</v>
      </c>
      <c r="J58" s="3">
        <f>ROUND((4/3)*(G58/10)*(H58/10)*(I58/10),0)</f>
        <v>60</v>
      </c>
      <c r="K58" s="1">
        <v>0</v>
      </c>
      <c r="L58" s="1">
        <v>1</v>
      </c>
      <c r="M58" s="1">
        <f>IF(K58+L58=2,1,0)</f>
        <v>0</v>
      </c>
      <c r="O58" s="1">
        <v>12</v>
      </c>
    </row>
    <row r="59" spans="1:15" x14ac:dyDescent="0.25">
      <c r="A59" s="1" t="s">
        <v>94</v>
      </c>
      <c r="B59" s="1" t="s">
        <v>78</v>
      </c>
      <c r="C59" s="1" t="s">
        <v>65</v>
      </c>
      <c r="D59" s="1" t="s">
        <v>20</v>
      </c>
      <c r="E59" s="1">
        <v>3</v>
      </c>
      <c r="F59" s="2">
        <v>44498</v>
      </c>
      <c r="G59" s="3">
        <v>64</v>
      </c>
      <c r="H59" s="1">
        <v>33</v>
      </c>
      <c r="I59" s="1">
        <v>22</v>
      </c>
      <c r="J59" s="3">
        <f>ROUND((4/3)*(G59/10)*(H59/10)*(I59/10),0)</f>
        <v>62</v>
      </c>
      <c r="K59" s="1">
        <v>0</v>
      </c>
      <c r="L59" s="1">
        <v>1</v>
      </c>
      <c r="M59" s="1">
        <f>IF(K59+L59=2,1,0)</f>
        <v>0</v>
      </c>
      <c r="O59" s="1">
        <v>17</v>
      </c>
    </row>
    <row r="60" spans="1:15" x14ac:dyDescent="0.25">
      <c r="A60" s="1" t="s">
        <v>95</v>
      </c>
      <c r="B60" s="1" t="s">
        <v>78</v>
      </c>
      <c r="C60" s="1" t="s">
        <v>65</v>
      </c>
      <c r="D60" s="1" t="s">
        <v>21</v>
      </c>
      <c r="E60" s="1">
        <v>3</v>
      </c>
      <c r="F60" s="2">
        <v>44498</v>
      </c>
      <c r="G60" s="3">
        <v>58</v>
      </c>
      <c r="H60" s="1">
        <v>34</v>
      </c>
      <c r="I60" s="1">
        <v>28</v>
      </c>
      <c r="J60" s="3">
        <f>ROUND((4/3)*(G60/10)*(H60/10)*(I60/10),0)</f>
        <v>74</v>
      </c>
      <c r="K60" s="1">
        <v>0</v>
      </c>
      <c r="L60" s="1">
        <v>1</v>
      </c>
      <c r="M60" s="1">
        <f>IF(K60+L60=2,1,0)</f>
        <v>0</v>
      </c>
      <c r="O60" s="1">
        <v>25</v>
      </c>
    </row>
    <row r="61" spans="1:15" x14ac:dyDescent="0.25">
      <c r="A61" s="1" t="s">
        <v>96</v>
      </c>
      <c r="B61" s="1" t="s">
        <v>78</v>
      </c>
      <c r="C61" s="1" t="s">
        <v>65</v>
      </c>
      <c r="D61" s="1" t="s">
        <v>21</v>
      </c>
      <c r="E61" s="1">
        <v>3</v>
      </c>
      <c r="F61" s="2">
        <v>44498</v>
      </c>
      <c r="G61" s="3">
        <v>63</v>
      </c>
      <c r="H61" s="1">
        <v>35</v>
      </c>
      <c r="I61" s="1">
        <v>22</v>
      </c>
      <c r="J61" s="3">
        <f>ROUND((4/3)*(G61/10)*(H61/10)*(I61/10),0)</f>
        <v>65</v>
      </c>
      <c r="K61" s="1">
        <v>0</v>
      </c>
      <c r="L61" s="1">
        <v>1</v>
      </c>
      <c r="M61" s="1">
        <f>IF(K61+L61=2,1,0)</f>
        <v>0</v>
      </c>
      <c r="O61" s="1">
        <v>44</v>
      </c>
    </row>
    <row r="62" spans="1:15" x14ac:dyDescent="0.25">
      <c r="A62" s="1" t="s">
        <v>97</v>
      </c>
      <c r="B62" s="1" t="s">
        <v>78</v>
      </c>
      <c r="C62" s="1" t="s">
        <v>65</v>
      </c>
      <c r="D62" s="1" t="s">
        <v>21</v>
      </c>
      <c r="E62" s="1">
        <v>3</v>
      </c>
      <c r="F62" s="2">
        <v>44498</v>
      </c>
      <c r="G62" s="3">
        <v>54</v>
      </c>
      <c r="H62" s="1">
        <v>32</v>
      </c>
      <c r="I62" s="1">
        <v>20</v>
      </c>
      <c r="J62" s="3">
        <f>ROUND((4/3)*(G62/10)*(H62/10)*(I62/10),0)</f>
        <v>46</v>
      </c>
      <c r="K62" s="1">
        <v>0</v>
      </c>
      <c r="L62" s="1">
        <v>1</v>
      </c>
      <c r="M62" s="1">
        <f>IF(K62+L62=2,1,0)</f>
        <v>0</v>
      </c>
      <c r="O62" s="1">
        <v>21</v>
      </c>
    </row>
    <row r="63" spans="1:15" x14ac:dyDescent="0.25">
      <c r="A63" s="1" t="s">
        <v>98</v>
      </c>
      <c r="B63" s="1" t="s">
        <v>78</v>
      </c>
      <c r="C63" s="1" t="s">
        <v>65</v>
      </c>
      <c r="D63" s="1" t="s">
        <v>21</v>
      </c>
      <c r="E63" s="1">
        <v>3</v>
      </c>
      <c r="F63" s="2">
        <v>44498</v>
      </c>
      <c r="G63" s="3">
        <v>63</v>
      </c>
      <c r="H63" s="1">
        <v>32</v>
      </c>
      <c r="I63" s="1">
        <v>20</v>
      </c>
      <c r="J63" s="3">
        <f>ROUND((4/3)*(G63/10)*(H63/10)*(I63/10),0)</f>
        <v>54</v>
      </c>
      <c r="K63" s="1">
        <v>0</v>
      </c>
      <c r="L63" s="1">
        <v>1</v>
      </c>
      <c r="M63" s="1">
        <f>IF(K63+L63=2,1,0)</f>
        <v>0</v>
      </c>
      <c r="O63" s="1">
        <v>5</v>
      </c>
    </row>
    <row r="64" spans="1:15" x14ac:dyDescent="0.25">
      <c r="A64" s="1" t="s">
        <v>99</v>
      </c>
      <c r="B64" s="1" t="s">
        <v>78</v>
      </c>
      <c r="C64" s="1" t="s">
        <v>65</v>
      </c>
      <c r="D64" s="1" t="s">
        <v>21</v>
      </c>
      <c r="E64" s="1">
        <v>3</v>
      </c>
      <c r="F64" s="2">
        <v>44498</v>
      </c>
      <c r="G64" s="3">
        <v>69</v>
      </c>
      <c r="H64" s="1">
        <v>33</v>
      </c>
      <c r="I64" s="1">
        <v>25</v>
      </c>
      <c r="J64" s="3">
        <f>ROUND((4/3)*(G64/10)*(H64/10)*(I64/10),0)</f>
        <v>76</v>
      </c>
      <c r="K64" s="1">
        <v>0</v>
      </c>
      <c r="L64" s="1">
        <v>1</v>
      </c>
      <c r="M64" s="1">
        <f>IF(K64+L64=2,1,0)</f>
        <v>0</v>
      </c>
      <c r="O64" s="1">
        <v>8</v>
      </c>
    </row>
    <row r="65" spans="1:15" x14ac:dyDescent="0.25">
      <c r="A65" s="1" t="s">
        <v>100</v>
      </c>
      <c r="B65" s="1" t="s">
        <v>78</v>
      </c>
      <c r="C65" s="1" t="s">
        <v>65</v>
      </c>
      <c r="D65" s="1" t="s">
        <v>131</v>
      </c>
      <c r="E65" s="1">
        <v>3</v>
      </c>
      <c r="F65" s="2">
        <v>44498</v>
      </c>
      <c r="G65" s="3">
        <v>61</v>
      </c>
      <c r="H65" s="3">
        <v>35</v>
      </c>
      <c r="I65" s="3">
        <v>22</v>
      </c>
      <c r="J65" s="3">
        <f>ROUND((4/3)*(G65/10)*(H65/10)*(I65/10),0)</f>
        <v>63</v>
      </c>
      <c r="K65" s="1">
        <v>0</v>
      </c>
      <c r="L65" s="1">
        <v>1</v>
      </c>
      <c r="M65" s="1">
        <f>IF(K65+L65=2,1,0)</f>
        <v>0</v>
      </c>
      <c r="O65" s="1">
        <v>9</v>
      </c>
    </row>
    <row r="66" spans="1:15" x14ac:dyDescent="0.25">
      <c r="A66" s="1" t="s">
        <v>101</v>
      </c>
      <c r="B66" s="1" t="s">
        <v>78</v>
      </c>
      <c r="C66" s="1" t="s">
        <v>65</v>
      </c>
      <c r="D66" s="1" t="s">
        <v>131</v>
      </c>
      <c r="E66" s="1">
        <v>3</v>
      </c>
      <c r="F66" s="2">
        <v>44498</v>
      </c>
      <c r="G66" s="3">
        <v>68</v>
      </c>
      <c r="H66" s="3">
        <v>39</v>
      </c>
      <c r="I66" s="3">
        <v>24</v>
      </c>
      <c r="J66" s="3">
        <f>ROUND((4/3)*(G66/10)*(H66/10)*(I66/10),0)</f>
        <v>85</v>
      </c>
      <c r="K66" s="1">
        <v>0</v>
      </c>
      <c r="L66" s="1">
        <v>1</v>
      </c>
      <c r="M66" s="1">
        <f>IF(K66+L66=2,1,0)</f>
        <v>0</v>
      </c>
      <c r="O66" s="1">
        <v>13</v>
      </c>
    </row>
    <row r="67" spans="1:15" x14ac:dyDescent="0.25">
      <c r="A67" s="1" t="s">
        <v>102</v>
      </c>
      <c r="B67" s="1" t="s">
        <v>78</v>
      </c>
      <c r="C67" s="1" t="s">
        <v>65</v>
      </c>
      <c r="D67" s="1" t="s">
        <v>131</v>
      </c>
      <c r="E67" s="1">
        <v>3</v>
      </c>
      <c r="F67" s="2">
        <v>44498</v>
      </c>
      <c r="G67" s="3">
        <v>60</v>
      </c>
      <c r="H67" s="3">
        <v>30</v>
      </c>
      <c r="I67" s="3">
        <v>23</v>
      </c>
      <c r="J67" s="3">
        <f>ROUND((4/3)*(G67/10)*(H67/10)*(I67/10),0)</f>
        <v>55</v>
      </c>
      <c r="K67" s="1">
        <v>0</v>
      </c>
      <c r="L67" s="1">
        <v>1</v>
      </c>
      <c r="M67" s="1">
        <f>IF(K67+L67=2,1,0)</f>
        <v>0</v>
      </c>
      <c r="O67" s="1">
        <v>12</v>
      </c>
    </row>
    <row r="68" spans="1:15" x14ac:dyDescent="0.25">
      <c r="A68" s="1" t="s">
        <v>103</v>
      </c>
      <c r="B68" s="1" t="s">
        <v>78</v>
      </c>
      <c r="C68" s="1" t="s">
        <v>65</v>
      </c>
      <c r="D68" s="1" t="s">
        <v>131</v>
      </c>
      <c r="E68" s="1">
        <v>3</v>
      </c>
      <c r="F68" s="2">
        <v>44498</v>
      </c>
      <c r="G68" s="3">
        <v>66</v>
      </c>
      <c r="H68" s="3">
        <v>39</v>
      </c>
      <c r="I68" s="3">
        <v>23</v>
      </c>
      <c r="J68" s="3">
        <f>ROUND((4/3)*(G68/10)*(H68/10)*(I68/10),0)</f>
        <v>79</v>
      </c>
      <c r="K68" s="1">
        <v>0</v>
      </c>
      <c r="L68" s="1">
        <v>1</v>
      </c>
      <c r="M68" s="1">
        <f>IF(K68+L68=2,1,0)</f>
        <v>0</v>
      </c>
      <c r="O68" s="1">
        <v>17</v>
      </c>
    </row>
    <row r="69" spans="1:15" x14ac:dyDescent="0.25">
      <c r="A69" s="1" t="s">
        <v>104</v>
      </c>
      <c r="B69" s="1" t="s">
        <v>78</v>
      </c>
      <c r="C69" s="1" t="s">
        <v>65</v>
      </c>
      <c r="D69" s="1" t="s">
        <v>131</v>
      </c>
      <c r="E69" s="1">
        <v>3</v>
      </c>
      <c r="F69" s="2">
        <v>44498</v>
      </c>
      <c r="G69" s="3">
        <v>59</v>
      </c>
      <c r="H69" s="3">
        <v>35</v>
      </c>
      <c r="I69" s="3">
        <v>21</v>
      </c>
      <c r="J69" s="3">
        <f>ROUND((4/3)*(G69/10)*(H69/10)*(I69/10),0)</f>
        <v>58</v>
      </c>
      <c r="K69" s="1">
        <v>0</v>
      </c>
      <c r="L69" s="1">
        <v>1</v>
      </c>
      <c r="M69" s="1">
        <f>IF(K69+L69=2,1,0)</f>
        <v>0</v>
      </c>
      <c r="O69" s="1">
        <v>7</v>
      </c>
    </row>
    <row r="70" spans="1:15" x14ac:dyDescent="0.25">
      <c r="A70" s="1" t="s">
        <v>105</v>
      </c>
      <c r="B70" s="1" t="s">
        <v>78</v>
      </c>
      <c r="C70" s="1" t="s">
        <v>65</v>
      </c>
      <c r="D70" s="1" t="s">
        <v>131</v>
      </c>
      <c r="E70" s="1">
        <v>3</v>
      </c>
      <c r="F70" s="2">
        <v>44498</v>
      </c>
      <c r="G70" s="3">
        <v>72</v>
      </c>
      <c r="H70" s="3">
        <v>37</v>
      </c>
      <c r="I70" s="3">
        <v>26</v>
      </c>
      <c r="J70" s="3">
        <f>ROUND((4/3)*(G70/10)*(H70/10)*(I70/10),0)</f>
        <v>92</v>
      </c>
      <c r="K70" s="1">
        <v>0</v>
      </c>
      <c r="L70" s="1">
        <v>1</v>
      </c>
      <c r="M70" s="1">
        <f>IF(K70+L70=2,1,0)</f>
        <v>0</v>
      </c>
      <c r="O70" s="1">
        <v>11</v>
      </c>
    </row>
    <row r="71" spans="1:15" x14ac:dyDescent="0.25">
      <c r="A71" s="1" t="s">
        <v>106</v>
      </c>
      <c r="B71" s="1" t="s">
        <v>78</v>
      </c>
      <c r="C71" s="1" t="s">
        <v>65</v>
      </c>
      <c r="D71" s="1" t="s">
        <v>131</v>
      </c>
      <c r="E71" s="1">
        <v>3</v>
      </c>
      <c r="F71" s="2">
        <v>44498</v>
      </c>
      <c r="G71" s="3">
        <v>68</v>
      </c>
      <c r="H71" s="3">
        <v>39</v>
      </c>
      <c r="I71" s="3">
        <v>25</v>
      </c>
      <c r="J71" s="3">
        <f>ROUND((4/3)*(G71/10)*(H71/10)*(I71/10),0)</f>
        <v>88</v>
      </c>
      <c r="K71" s="1">
        <v>0</v>
      </c>
      <c r="L71" s="1">
        <v>1</v>
      </c>
      <c r="M71" s="1">
        <f>IF(K71+L71=2,1,0)</f>
        <v>0</v>
      </c>
      <c r="O71" s="1">
        <v>8</v>
      </c>
    </row>
    <row r="72" spans="1:15" x14ac:dyDescent="0.25">
      <c r="A72" s="1" t="s">
        <v>107</v>
      </c>
      <c r="B72" s="1" t="s">
        <v>78</v>
      </c>
      <c r="C72" s="1" t="s">
        <v>65</v>
      </c>
      <c r="D72" s="1" t="s">
        <v>131</v>
      </c>
      <c r="E72" s="1">
        <v>3</v>
      </c>
      <c r="F72" s="2">
        <v>44498</v>
      </c>
      <c r="G72" s="3">
        <v>62</v>
      </c>
      <c r="H72" s="3">
        <v>30</v>
      </c>
      <c r="I72" s="3">
        <v>23</v>
      </c>
      <c r="J72" s="3">
        <f>ROUND((4/3)*(G72/10)*(H72/10)*(I72/10),0)</f>
        <v>57</v>
      </c>
      <c r="K72" s="1">
        <v>0</v>
      </c>
      <c r="L72" s="1">
        <v>1</v>
      </c>
      <c r="M72" s="1">
        <f>IF(K72+L72=2,1,0)</f>
        <v>0</v>
      </c>
      <c r="O72" s="1">
        <v>11</v>
      </c>
    </row>
    <row r="73" spans="1:15" x14ac:dyDescent="0.25">
      <c r="A73" s="1" t="s">
        <v>108</v>
      </c>
      <c r="B73" s="1" t="s">
        <v>78</v>
      </c>
      <c r="C73" s="1" t="s">
        <v>65</v>
      </c>
      <c r="D73" s="1" t="s">
        <v>131</v>
      </c>
      <c r="E73" s="1">
        <v>3</v>
      </c>
      <c r="F73" s="2">
        <v>44498</v>
      </c>
      <c r="G73" s="3">
        <v>68</v>
      </c>
      <c r="H73" s="3">
        <v>38</v>
      </c>
      <c r="I73" s="3">
        <v>27</v>
      </c>
      <c r="J73" s="3">
        <f>ROUND((4/3)*(G73/10)*(H73/10)*(I73/10),0)</f>
        <v>93</v>
      </c>
      <c r="K73" s="1">
        <v>0</v>
      </c>
      <c r="L73" s="1">
        <v>1</v>
      </c>
      <c r="M73" s="1">
        <f>IF(K73+L73=2,1,0)</f>
        <v>0</v>
      </c>
      <c r="O73" s="1">
        <v>26</v>
      </c>
    </row>
    <row r="74" spans="1:15" x14ac:dyDescent="0.25">
      <c r="A74" s="1" t="s">
        <v>109</v>
      </c>
      <c r="B74" s="1" t="s">
        <v>78</v>
      </c>
      <c r="C74" s="1" t="s">
        <v>65</v>
      </c>
      <c r="D74" s="1" t="s">
        <v>131</v>
      </c>
      <c r="E74" s="1">
        <v>3</v>
      </c>
      <c r="F74" s="2">
        <v>44498</v>
      </c>
      <c r="G74" s="3">
        <v>71</v>
      </c>
      <c r="H74" s="3">
        <v>36</v>
      </c>
      <c r="I74" s="3">
        <v>25</v>
      </c>
      <c r="J74" s="3">
        <f>ROUND((4/3)*(G74/10)*(H74/10)*(I74/10),0)</f>
        <v>85</v>
      </c>
      <c r="K74" s="1">
        <v>0</v>
      </c>
      <c r="L74" s="1">
        <v>1</v>
      </c>
      <c r="M74" s="1">
        <f>IF(K74+L74=2,1,0)</f>
        <v>0</v>
      </c>
      <c r="O74" s="1">
        <v>5</v>
      </c>
    </row>
    <row r="75" spans="1:15" x14ac:dyDescent="0.25">
      <c r="A75" s="1" t="s">
        <v>110</v>
      </c>
      <c r="B75" s="1" t="s">
        <v>78</v>
      </c>
      <c r="C75" s="1" t="s">
        <v>65</v>
      </c>
      <c r="D75" s="1" t="s">
        <v>131</v>
      </c>
      <c r="E75" s="1">
        <v>3</v>
      </c>
      <c r="F75" s="2">
        <v>44498</v>
      </c>
      <c r="G75" s="3">
        <v>51</v>
      </c>
      <c r="H75" s="3">
        <v>27</v>
      </c>
      <c r="I75" s="3">
        <v>19</v>
      </c>
      <c r="J75" s="3">
        <f>ROUND((4/3)*(G75/10)*(H75/10)*(I75/10),0)</f>
        <v>35</v>
      </c>
      <c r="K75" s="1">
        <v>0</v>
      </c>
      <c r="L75" s="1">
        <v>0</v>
      </c>
      <c r="M75" s="1">
        <f>IF(K75+L75=2,1,0)</f>
        <v>0</v>
      </c>
    </row>
    <row r="76" spans="1:15" x14ac:dyDescent="0.25">
      <c r="A76" s="1" t="s">
        <v>111</v>
      </c>
      <c r="B76" s="1" t="s">
        <v>78</v>
      </c>
      <c r="C76" s="1" t="s">
        <v>65</v>
      </c>
      <c r="D76" s="1" t="s">
        <v>131</v>
      </c>
      <c r="E76" s="1">
        <v>3</v>
      </c>
      <c r="F76" s="2">
        <v>44498</v>
      </c>
      <c r="G76" s="3">
        <v>48</v>
      </c>
      <c r="H76" s="3">
        <v>23</v>
      </c>
      <c r="I76" s="3">
        <v>16</v>
      </c>
      <c r="J76" s="3">
        <f>ROUND((4/3)*(G76/10)*(H76/10)*(I76/10),0)</f>
        <v>24</v>
      </c>
      <c r="K76" s="1">
        <v>0</v>
      </c>
      <c r="L76" s="1">
        <v>0</v>
      </c>
      <c r="M76" s="1">
        <f>IF(K76+L76=2,1,0)</f>
        <v>0</v>
      </c>
    </row>
  </sheetData>
  <autoFilter ref="A1:O76" xr:uid="{CF8501E8-434F-48F8-A4DE-F240F67D4FEC}"/>
  <sortState xmlns:xlrd2="http://schemas.microsoft.com/office/spreadsheetml/2017/richdata2" ref="A2:O196">
    <sortCondition ref="A2:A196"/>
  </sortState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BF9-56AD-461F-8408-B776CEE69F73}">
  <dimension ref="A1:E65"/>
  <sheetViews>
    <sheetView workbookViewId="0">
      <selection activeCell="L8" sqref="L8"/>
    </sheetView>
  </sheetViews>
  <sheetFormatPr defaultRowHeight="15" x14ac:dyDescent="0.25"/>
  <cols>
    <col min="2" max="2" width="11" bestFit="1" customWidth="1"/>
  </cols>
  <sheetData>
    <row r="1" spans="1:5" x14ac:dyDescent="0.25">
      <c r="A1" s="1" t="s">
        <v>85</v>
      </c>
      <c r="B1" s="1" t="s">
        <v>18</v>
      </c>
      <c r="C1" s="1" t="s">
        <v>63</v>
      </c>
      <c r="D1" s="1" t="s">
        <v>77</v>
      </c>
      <c r="E1" s="1" t="s">
        <v>63</v>
      </c>
    </row>
    <row r="2" spans="1:5" x14ac:dyDescent="0.25">
      <c r="A2" s="1" t="s">
        <v>23</v>
      </c>
      <c r="B2" s="1" t="str">
        <f>VLOOKUP(A2,key!A:E,4,FALSE)</f>
        <v>OA</v>
      </c>
      <c r="C2" s="1">
        <f>VLOOKUP(A2,key!A:E,5,FALSE)</f>
        <v>3</v>
      </c>
      <c r="D2" s="1" t="s">
        <v>78</v>
      </c>
      <c r="E2" s="1">
        <v>3</v>
      </c>
    </row>
    <row r="3" spans="1:5" x14ac:dyDescent="0.25">
      <c r="A3" s="1" t="s">
        <v>24</v>
      </c>
      <c r="B3" s="1" t="str">
        <f>VLOOKUP(A3,key!A:E,4,FALSE)</f>
        <v>OA</v>
      </c>
      <c r="C3" s="1">
        <f>VLOOKUP(A3,key!A:E,5,FALSE)</f>
        <v>3</v>
      </c>
      <c r="D3" s="1" t="s">
        <v>78</v>
      </c>
      <c r="E3" s="1">
        <v>3</v>
      </c>
    </row>
    <row r="4" spans="1:5" x14ac:dyDescent="0.25">
      <c r="A4" s="1" t="s">
        <v>25</v>
      </c>
      <c r="B4" s="1" t="str">
        <f>VLOOKUP(A4,key!A:E,4,FALSE)</f>
        <v>OA</v>
      </c>
      <c r="C4" s="1">
        <f>VLOOKUP(A4,key!A:E,5,FALSE)</f>
        <v>3</v>
      </c>
      <c r="D4" s="1" t="s">
        <v>78</v>
      </c>
      <c r="E4" s="1">
        <v>3</v>
      </c>
    </row>
    <row r="5" spans="1:5" x14ac:dyDescent="0.25">
      <c r="A5" s="1" t="s">
        <v>31</v>
      </c>
      <c r="B5" s="1" t="str">
        <f>VLOOKUP(A5,key!A:E,4,FALSE)</f>
        <v>OW</v>
      </c>
      <c r="C5" s="1">
        <f>VLOOKUP(A5,key!A:E,5,FALSE)</f>
        <v>3</v>
      </c>
      <c r="D5" s="1" t="s">
        <v>78</v>
      </c>
      <c r="E5" s="1">
        <v>3</v>
      </c>
    </row>
    <row r="6" spans="1:5" x14ac:dyDescent="0.25">
      <c r="A6" s="1" t="s">
        <v>34</v>
      </c>
      <c r="B6" s="1" t="str">
        <f>VLOOKUP(A6,key!A:E,4,FALSE)</f>
        <v>OW</v>
      </c>
      <c r="C6" s="1">
        <f>VLOOKUP(A6,key!A:E,5,FALSE)</f>
        <v>3</v>
      </c>
      <c r="D6" s="1" t="s">
        <v>78</v>
      </c>
      <c r="E6" s="1">
        <v>3</v>
      </c>
    </row>
    <row r="7" spans="1:5" x14ac:dyDescent="0.25">
      <c r="A7" s="1" t="s">
        <v>35</v>
      </c>
      <c r="B7" s="1" t="str">
        <f>VLOOKUP(A7,key!A:E,4,FALSE)</f>
        <v>OW</v>
      </c>
      <c r="C7" s="1">
        <f>VLOOKUP(A7,key!A:E,5,FALSE)</f>
        <v>3</v>
      </c>
      <c r="D7" s="1" t="s">
        <v>78</v>
      </c>
      <c r="E7" s="1">
        <v>3</v>
      </c>
    </row>
    <row r="8" spans="1:5" x14ac:dyDescent="0.25">
      <c r="A8" s="1" t="s">
        <v>36</v>
      </c>
      <c r="B8" s="1" t="str">
        <f>VLOOKUP(A8,key!A:E,4,FALSE)</f>
        <v>OW</v>
      </c>
      <c r="C8" s="1">
        <f>VLOOKUP(A8,key!A:E,5,FALSE)</f>
        <v>3</v>
      </c>
      <c r="D8" s="1" t="s">
        <v>78</v>
      </c>
      <c r="E8" s="1">
        <v>3</v>
      </c>
    </row>
    <row r="9" spans="1:5" x14ac:dyDescent="0.25">
      <c r="A9" s="1" t="s">
        <v>26</v>
      </c>
      <c r="B9" s="1" t="str">
        <f>VLOOKUP(A9,key!A:E,4,FALSE)</f>
        <v>OA</v>
      </c>
      <c r="C9" s="1">
        <f>VLOOKUP(A9,key!A:E,5,FALSE)</f>
        <v>3</v>
      </c>
      <c r="D9" s="1" t="s">
        <v>78</v>
      </c>
      <c r="E9" s="1">
        <v>3</v>
      </c>
    </row>
    <row r="10" spans="1:5" x14ac:dyDescent="0.25">
      <c r="A10" s="1" t="s">
        <v>27</v>
      </c>
      <c r="B10" s="1" t="str">
        <f>VLOOKUP(A10,key!A:E,4,FALSE)</f>
        <v>OA</v>
      </c>
      <c r="C10" s="1">
        <f>VLOOKUP(A10,key!A:E,5,FALSE)</f>
        <v>3</v>
      </c>
      <c r="D10" s="1" t="s">
        <v>78</v>
      </c>
      <c r="E10" s="1">
        <v>3</v>
      </c>
    </row>
    <row r="11" spans="1:5" x14ac:dyDescent="0.25">
      <c r="A11" s="1" t="s">
        <v>28</v>
      </c>
      <c r="B11" s="1" t="str">
        <f>VLOOKUP(A11,key!A:E,4,FALSE)</f>
        <v>OA</v>
      </c>
      <c r="C11" s="1">
        <f>VLOOKUP(A11,key!A:E,5,FALSE)</f>
        <v>3</v>
      </c>
      <c r="D11" s="1" t="s">
        <v>78</v>
      </c>
      <c r="E11" s="1">
        <v>3</v>
      </c>
    </row>
    <row r="12" spans="1:5" x14ac:dyDescent="0.25">
      <c r="A12" s="1" t="s">
        <v>8</v>
      </c>
      <c r="B12" s="1" t="str">
        <f>VLOOKUP(A12,key!A:E,4,FALSE)</f>
        <v>control</v>
      </c>
      <c r="C12" s="1">
        <f>VLOOKUP(A12,key!A:E,5,FALSE)</f>
        <v>0</v>
      </c>
      <c r="D12" s="1" t="s">
        <v>78</v>
      </c>
      <c r="E12" s="1">
        <v>0</v>
      </c>
    </row>
    <row r="13" spans="1:5" x14ac:dyDescent="0.25">
      <c r="A13" s="1" t="s">
        <v>9</v>
      </c>
      <c r="B13" s="1" t="str">
        <f>VLOOKUP(A13,key!A:E,4,FALSE)</f>
        <v>control</v>
      </c>
      <c r="C13" s="1">
        <f>VLOOKUP(A13,key!A:E,5,FALSE)</f>
        <v>0</v>
      </c>
      <c r="D13" s="1" t="s">
        <v>78</v>
      </c>
      <c r="E13" s="1">
        <v>0</v>
      </c>
    </row>
    <row r="14" spans="1:5" x14ac:dyDescent="0.25">
      <c r="A14" s="1" t="s">
        <v>10</v>
      </c>
      <c r="B14" s="1" t="str">
        <f>VLOOKUP(A14,key!A:E,4,FALSE)</f>
        <v>control</v>
      </c>
      <c r="C14" s="1">
        <f>VLOOKUP(A14,key!A:E,5,FALSE)</f>
        <v>0</v>
      </c>
      <c r="D14" s="1" t="s">
        <v>78</v>
      </c>
      <c r="E14" s="1">
        <v>0</v>
      </c>
    </row>
    <row r="15" spans="1:5" x14ac:dyDescent="0.25">
      <c r="A15" s="1" t="s">
        <v>11</v>
      </c>
      <c r="B15" s="1" t="str">
        <f>VLOOKUP(A15,key!A:E,4,FALSE)</f>
        <v>control</v>
      </c>
      <c r="C15" s="1">
        <f>VLOOKUP(A15,key!A:E,5,FALSE)</f>
        <v>0</v>
      </c>
      <c r="D15" s="1" t="s">
        <v>78</v>
      </c>
      <c r="E15" s="1">
        <v>0</v>
      </c>
    </row>
    <row r="16" spans="1:5" x14ac:dyDescent="0.25">
      <c r="A16" s="1" t="s">
        <v>12</v>
      </c>
      <c r="B16" s="1" t="str">
        <f>VLOOKUP(A16,key!A:E,4,FALSE)</f>
        <v>control</v>
      </c>
      <c r="C16" s="1">
        <f>VLOOKUP(A16,key!A:E,5,FALSE)</f>
        <v>0</v>
      </c>
      <c r="D16" s="1" t="s">
        <v>78</v>
      </c>
      <c r="E16" s="1">
        <v>0</v>
      </c>
    </row>
    <row r="17" spans="1:5" x14ac:dyDescent="0.25">
      <c r="A17" s="1" t="s">
        <v>13</v>
      </c>
      <c r="B17" s="1" t="str">
        <f>VLOOKUP(A17,key!A:E,4,FALSE)</f>
        <v>control</v>
      </c>
      <c r="C17" s="1">
        <f>VLOOKUP(A17,key!A:E,5,FALSE)</f>
        <v>0</v>
      </c>
      <c r="D17" s="1" t="s">
        <v>78</v>
      </c>
      <c r="E17" s="1">
        <v>0</v>
      </c>
    </row>
    <row r="18" spans="1:5" x14ac:dyDescent="0.25">
      <c r="A18" s="1" t="s">
        <v>14</v>
      </c>
      <c r="B18" s="1" t="str">
        <f>VLOOKUP(A18,key!A:E,4,FALSE)</f>
        <v>control</v>
      </c>
      <c r="C18" s="1">
        <f>VLOOKUP(A18,key!A:E,5,FALSE)</f>
        <v>0</v>
      </c>
      <c r="D18" s="1" t="s">
        <v>78</v>
      </c>
      <c r="E18" s="1">
        <v>0</v>
      </c>
    </row>
    <row r="19" spans="1:5" x14ac:dyDescent="0.25">
      <c r="A19" s="1" t="s">
        <v>15</v>
      </c>
      <c r="B19" s="1" t="str">
        <f>VLOOKUP(A19,key!A:E,4,FALSE)</f>
        <v>control</v>
      </c>
      <c r="C19" s="1">
        <f>VLOOKUP(A19,key!A:E,5,FALSE)</f>
        <v>0</v>
      </c>
      <c r="D19" s="1" t="s">
        <v>78</v>
      </c>
      <c r="E19" s="1">
        <v>0</v>
      </c>
    </row>
    <row r="20" spans="1:5" x14ac:dyDescent="0.25">
      <c r="A20" s="1" t="s">
        <v>16</v>
      </c>
      <c r="B20" s="1" t="str">
        <f>VLOOKUP(A20,key!A:E,4,FALSE)</f>
        <v>control</v>
      </c>
      <c r="C20" s="1">
        <f>VLOOKUP(A20,key!A:E,5,FALSE)</f>
        <v>0</v>
      </c>
      <c r="D20" s="1" t="s">
        <v>78</v>
      </c>
      <c r="E20" s="1">
        <v>0</v>
      </c>
    </row>
    <row r="21" spans="1:5" x14ac:dyDescent="0.25">
      <c r="A21" s="1" t="s">
        <v>17</v>
      </c>
      <c r="B21" s="1" t="str">
        <f>VLOOKUP(A21,key!A:E,4,FALSE)</f>
        <v>control</v>
      </c>
      <c r="C21" s="1">
        <f>VLOOKUP(A21,key!A:E,5,FALSE)</f>
        <v>0</v>
      </c>
      <c r="D21" s="1" t="s">
        <v>78</v>
      </c>
      <c r="E21" s="1">
        <v>0</v>
      </c>
    </row>
    <row r="22" spans="1:5" x14ac:dyDescent="0.25">
      <c r="A22" s="1" t="s">
        <v>46</v>
      </c>
      <c r="B22" s="1" t="str">
        <f>VLOOKUP(A22,key!A:E,4,FALSE)</f>
        <v>control</v>
      </c>
      <c r="C22" s="1">
        <f>VLOOKUP(A22,key!A:E,5,FALSE)</f>
        <v>0</v>
      </c>
      <c r="D22" s="1" t="s">
        <v>78</v>
      </c>
      <c r="E22" s="1">
        <v>0</v>
      </c>
    </row>
    <row r="23" spans="1:5" x14ac:dyDescent="0.25">
      <c r="A23" s="1" t="s">
        <v>47</v>
      </c>
      <c r="B23" s="1" t="str">
        <f>VLOOKUP(A23,key!A:E,4,FALSE)</f>
        <v>control</v>
      </c>
      <c r="C23" s="1">
        <f>VLOOKUP(A23,key!A:E,5,FALSE)</f>
        <v>0</v>
      </c>
      <c r="D23" s="1" t="s">
        <v>78</v>
      </c>
      <c r="E23" s="1">
        <v>0</v>
      </c>
    </row>
    <row r="24" spans="1:5" x14ac:dyDescent="0.25">
      <c r="A24" s="1" t="s">
        <v>100</v>
      </c>
      <c r="B24" s="1" t="str">
        <f>VLOOKUP(A24,key!A:E,4,FALSE)</f>
        <v>control</v>
      </c>
      <c r="C24" s="1">
        <f>VLOOKUP(A24,key!A:E,5,FALSE)</f>
        <v>3</v>
      </c>
      <c r="D24" s="1" t="s">
        <v>78</v>
      </c>
      <c r="E24" s="1">
        <v>3</v>
      </c>
    </row>
    <row r="25" spans="1:5" x14ac:dyDescent="0.25">
      <c r="A25" s="1" t="s">
        <v>101</v>
      </c>
      <c r="B25" s="1" t="str">
        <f>VLOOKUP(A25,key!A:E,4,FALSE)</f>
        <v>control</v>
      </c>
      <c r="C25" s="1">
        <f>VLOOKUP(A25,key!A:E,5,FALSE)</f>
        <v>3</v>
      </c>
      <c r="D25" s="1" t="s">
        <v>78</v>
      </c>
      <c r="E25" s="1">
        <v>3</v>
      </c>
    </row>
    <row r="26" spans="1:5" x14ac:dyDescent="0.25">
      <c r="A26" s="1" t="s">
        <v>102</v>
      </c>
      <c r="B26" s="1" t="str">
        <f>VLOOKUP(A26,key!A:E,4,FALSE)</f>
        <v>control</v>
      </c>
      <c r="C26" s="1">
        <f>VLOOKUP(A26,key!A:E,5,FALSE)</f>
        <v>3</v>
      </c>
      <c r="D26" s="1" t="s">
        <v>78</v>
      </c>
      <c r="E26" s="1">
        <v>3</v>
      </c>
    </row>
    <row r="27" spans="1:5" x14ac:dyDescent="0.25">
      <c r="A27" s="1" t="s">
        <v>103</v>
      </c>
      <c r="B27" s="1" t="str">
        <f>VLOOKUP(A27,key!A:E,4,FALSE)</f>
        <v>control</v>
      </c>
      <c r="C27" s="1">
        <f>VLOOKUP(A27,key!A:E,5,FALSE)</f>
        <v>3</v>
      </c>
      <c r="D27" s="1" t="s">
        <v>78</v>
      </c>
      <c r="E27" s="1">
        <v>3</v>
      </c>
    </row>
    <row r="28" spans="1:5" x14ac:dyDescent="0.25">
      <c r="A28" s="1" t="s">
        <v>104</v>
      </c>
      <c r="B28" s="1" t="str">
        <f>VLOOKUP(A28,key!A:E,4,FALSE)</f>
        <v>control</v>
      </c>
      <c r="C28" s="1">
        <f>VLOOKUP(A28,key!A:E,5,FALSE)</f>
        <v>3</v>
      </c>
      <c r="D28" s="1" t="s">
        <v>78</v>
      </c>
      <c r="E28" s="1">
        <v>3</v>
      </c>
    </row>
    <row r="29" spans="1:5" x14ac:dyDescent="0.25">
      <c r="A29" s="1" t="s">
        <v>105</v>
      </c>
      <c r="B29" s="1" t="str">
        <f>VLOOKUP(A29,key!A:E,4,FALSE)</f>
        <v>control</v>
      </c>
      <c r="C29" s="1">
        <f>VLOOKUP(A29,key!A:E,5,FALSE)</f>
        <v>3</v>
      </c>
      <c r="D29" s="1" t="s">
        <v>78</v>
      </c>
      <c r="E29" s="1">
        <v>3</v>
      </c>
    </row>
    <row r="30" spans="1:5" x14ac:dyDescent="0.25">
      <c r="A30" s="1" t="s">
        <v>106</v>
      </c>
      <c r="B30" s="1" t="str">
        <f>VLOOKUP(A30,key!A:E,4,FALSE)</f>
        <v>control</v>
      </c>
      <c r="C30" s="1">
        <f>VLOOKUP(A30,key!A:E,5,FALSE)</f>
        <v>3</v>
      </c>
      <c r="D30" s="1" t="s">
        <v>78</v>
      </c>
      <c r="E30" s="1">
        <v>3</v>
      </c>
    </row>
    <row r="31" spans="1:5" x14ac:dyDescent="0.25">
      <c r="A31" s="1" t="s">
        <v>107</v>
      </c>
      <c r="B31" s="1" t="str">
        <f>VLOOKUP(A31,key!A:E,4,FALSE)</f>
        <v>control</v>
      </c>
      <c r="C31" s="1">
        <f>VLOOKUP(A31,key!A:E,5,FALSE)</f>
        <v>3</v>
      </c>
      <c r="D31" s="1" t="s">
        <v>78</v>
      </c>
      <c r="E31" s="1">
        <v>3</v>
      </c>
    </row>
    <row r="32" spans="1:5" x14ac:dyDescent="0.25">
      <c r="A32" s="1" t="s">
        <v>108</v>
      </c>
      <c r="B32" s="1" t="str">
        <f>VLOOKUP(A32,key!A:E,4,FALSE)</f>
        <v>control</v>
      </c>
      <c r="C32" s="1">
        <f>VLOOKUP(A32,key!A:E,5,FALSE)</f>
        <v>3</v>
      </c>
      <c r="D32" s="1" t="s">
        <v>78</v>
      </c>
      <c r="E32" s="1">
        <v>3</v>
      </c>
    </row>
    <row r="33" spans="1:5" x14ac:dyDescent="0.25">
      <c r="A33" s="1" t="s">
        <v>109</v>
      </c>
      <c r="B33" s="1" t="str">
        <f>VLOOKUP(A33,key!A:E,4,FALSE)</f>
        <v>control</v>
      </c>
      <c r="C33" s="1">
        <f>VLOOKUP(A33,key!A:E,5,FALSE)</f>
        <v>3</v>
      </c>
      <c r="D33" s="1" t="s">
        <v>78</v>
      </c>
      <c r="E33" s="1">
        <v>3</v>
      </c>
    </row>
    <row r="34" spans="1:5" x14ac:dyDescent="0.25">
      <c r="A34" s="1" t="s">
        <v>86</v>
      </c>
      <c r="B34" s="1" t="str">
        <f>VLOOKUP(A34,key!A:E,4,FALSE)</f>
        <v>OW</v>
      </c>
      <c r="C34" s="1">
        <f>VLOOKUP(A34,key!A:E,5,FALSE)</f>
        <v>3</v>
      </c>
      <c r="D34" s="1" t="s">
        <v>78</v>
      </c>
      <c r="E34" s="1">
        <v>3</v>
      </c>
    </row>
    <row r="35" spans="1:5" x14ac:dyDescent="0.25">
      <c r="A35" s="1" t="s">
        <v>95</v>
      </c>
      <c r="B35" s="1" t="str">
        <f>VLOOKUP(A35,key!A:E,4,FALSE)</f>
        <v>OW</v>
      </c>
      <c r="C35" s="1">
        <f>VLOOKUP(A35,key!A:E,5,FALSE)</f>
        <v>3</v>
      </c>
      <c r="D35" s="1" t="s">
        <v>78</v>
      </c>
      <c r="E35" s="1">
        <v>3</v>
      </c>
    </row>
    <row r="36" spans="1:5" x14ac:dyDescent="0.25">
      <c r="A36" s="1" t="s">
        <v>96</v>
      </c>
      <c r="B36" s="1" t="str">
        <f>VLOOKUP(A36,key!A:E,4,FALSE)</f>
        <v>OW</v>
      </c>
      <c r="C36" s="1">
        <f>VLOOKUP(A36,key!A:E,5,FALSE)</f>
        <v>3</v>
      </c>
      <c r="D36" s="1" t="s">
        <v>78</v>
      </c>
      <c r="E36" s="1">
        <v>3</v>
      </c>
    </row>
    <row r="37" spans="1:5" x14ac:dyDescent="0.25">
      <c r="A37" s="1" t="s">
        <v>97</v>
      </c>
      <c r="B37" s="1" t="str">
        <f>VLOOKUP(A37,key!A:E,4,FALSE)</f>
        <v>OW</v>
      </c>
      <c r="C37" s="1">
        <f>VLOOKUP(A37,key!A:E,5,FALSE)</f>
        <v>3</v>
      </c>
      <c r="D37" s="1" t="s">
        <v>78</v>
      </c>
      <c r="E37" s="1">
        <v>3</v>
      </c>
    </row>
    <row r="38" spans="1:5" x14ac:dyDescent="0.25">
      <c r="A38" s="1" t="s">
        <v>98</v>
      </c>
      <c r="B38" s="1" t="str">
        <f>VLOOKUP(A38,key!A:E,4,FALSE)</f>
        <v>OW</v>
      </c>
      <c r="C38" s="1">
        <f>VLOOKUP(A38,key!A:E,5,FALSE)</f>
        <v>3</v>
      </c>
      <c r="D38" s="1" t="s">
        <v>78</v>
      </c>
      <c r="E38" s="1">
        <v>3</v>
      </c>
    </row>
    <row r="39" spans="1:5" x14ac:dyDescent="0.25">
      <c r="A39" s="1" t="s">
        <v>99</v>
      </c>
      <c r="B39" s="1" t="str">
        <f>VLOOKUP(A39,key!A:E,4,FALSE)</f>
        <v>OW</v>
      </c>
      <c r="C39" s="1">
        <f>VLOOKUP(A39,key!A:E,5,FALSE)</f>
        <v>3</v>
      </c>
      <c r="D39" s="1" t="s">
        <v>78</v>
      </c>
      <c r="E39" s="1">
        <v>3</v>
      </c>
    </row>
    <row r="40" spans="1:5" x14ac:dyDescent="0.25">
      <c r="A40" s="1" t="s">
        <v>92</v>
      </c>
      <c r="B40" s="1" t="str">
        <f>VLOOKUP(A40,key!A:E,4,FALSE)</f>
        <v>OA</v>
      </c>
      <c r="C40" s="1">
        <f>VLOOKUP(A40,key!A:E,5,FALSE)</f>
        <v>3</v>
      </c>
      <c r="D40" s="1" t="s">
        <v>78</v>
      </c>
      <c r="E40" s="1">
        <v>3</v>
      </c>
    </row>
    <row r="41" spans="1:5" x14ac:dyDescent="0.25">
      <c r="A41" s="1" t="s">
        <v>93</v>
      </c>
      <c r="B41" s="1" t="str">
        <f>VLOOKUP(A41,key!A:E,4,FALSE)</f>
        <v>OA</v>
      </c>
      <c r="C41" s="1">
        <f>VLOOKUP(A41,key!A:E,5,FALSE)</f>
        <v>3</v>
      </c>
      <c r="D41" s="1" t="s">
        <v>78</v>
      </c>
      <c r="E41" s="1">
        <v>3</v>
      </c>
    </row>
    <row r="42" spans="1:5" x14ac:dyDescent="0.25">
      <c r="A42" s="1" t="s">
        <v>94</v>
      </c>
      <c r="B42" s="1" t="str">
        <f>VLOOKUP(A42,key!A:E,4,FALSE)</f>
        <v>OA</v>
      </c>
      <c r="C42" s="1">
        <f>VLOOKUP(A42,key!A:E,5,FALSE)</f>
        <v>3</v>
      </c>
      <c r="D42" s="1" t="s">
        <v>78</v>
      </c>
      <c r="E42" s="1">
        <v>3</v>
      </c>
    </row>
    <row r="43" spans="1:5" x14ac:dyDescent="0.25">
      <c r="A43" s="1" t="s">
        <v>110</v>
      </c>
      <c r="B43" s="1" t="str">
        <f>VLOOKUP(A43,key!A:E,4,FALSE)</f>
        <v>control</v>
      </c>
      <c r="C43" s="1">
        <f>VLOOKUP(A43,key!A:E,5,FALSE)</f>
        <v>3</v>
      </c>
      <c r="D43" s="1" t="s">
        <v>78</v>
      </c>
      <c r="E43" s="1">
        <v>3</v>
      </c>
    </row>
    <row r="44" spans="1:5" x14ac:dyDescent="0.25">
      <c r="A44" s="1" t="s">
        <v>111</v>
      </c>
      <c r="B44" s="1" t="str">
        <f>VLOOKUP(A44,key!A:E,4,FALSE)</f>
        <v>control</v>
      </c>
      <c r="C44" s="1">
        <f>VLOOKUP(A44,key!A:E,5,FALSE)</f>
        <v>3</v>
      </c>
      <c r="D44" s="1" t="s">
        <v>78</v>
      </c>
      <c r="E44" s="1">
        <v>3</v>
      </c>
    </row>
    <row r="45" spans="1:5" x14ac:dyDescent="0.25">
      <c r="A45" s="1" t="s">
        <v>38</v>
      </c>
      <c r="B45" s="1" t="str">
        <f>VLOOKUP(A45,key!A:E,4,FALSE)</f>
        <v>DO</v>
      </c>
      <c r="C45" s="1">
        <f>VLOOKUP(A45,key!A:E,5,FALSE)</f>
        <v>3</v>
      </c>
      <c r="D45" s="1" t="s">
        <v>78</v>
      </c>
      <c r="E45" s="1">
        <v>3</v>
      </c>
    </row>
    <row r="46" spans="1:5" x14ac:dyDescent="0.25">
      <c r="A46" s="1" t="s">
        <v>41</v>
      </c>
      <c r="B46" s="1" t="str">
        <f>VLOOKUP(A46,key!A:E,4,FALSE)</f>
        <v>DO</v>
      </c>
      <c r="C46" s="1">
        <f>VLOOKUP(A46,key!A:E,5,FALSE)</f>
        <v>3</v>
      </c>
      <c r="D46" s="1" t="s">
        <v>78</v>
      </c>
      <c r="E46" s="1">
        <v>3</v>
      </c>
    </row>
    <row r="47" spans="1:5" x14ac:dyDescent="0.25">
      <c r="A47" s="1" t="s">
        <v>42</v>
      </c>
      <c r="B47" s="1" t="str">
        <f>VLOOKUP(A47,key!A:E,4,FALSE)</f>
        <v>DO</v>
      </c>
      <c r="C47" s="1">
        <f>VLOOKUP(A47,key!A:E,5,FALSE)</f>
        <v>3</v>
      </c>
      <c r="D47" s="1" t="s">
        <v>78</v>
      </c>
      <c r="E47" s="1">
        <v>3</v>
      </c>
    </row>
    <row r="48" spans="1:5" x14ac:dyDescent="0.25">
      <c r="A48" s="1" t="s">
        <v>43</v>
      </c>
      <c r="B48" s="1" t="str">
        <f>VLOOKUP(A48,key!A:E,4,FALSE)</f>
        <v>DO</v>
      </c>
      <c r="C48" s="1">
        <f>VLOOKUP(A48,key!A:E,5,FALSE)</f>
        <v>3</v>
      </c>
      <c r="D48" s="1" t="s">
        <v>78</v>
      </c>
      <c r="E48" s="1">
        <v>3</v>
      </c>
    </row>
    <row r="49" spans="1:5" x14ac:dyDescent="0.25">
      <c r="A49" s="1" t="s">
        <v>44</v>
      </c>
      <c r="B49" s="1" t="str">
        <f>VLOOKUP(A49,key!A:E,4,FALSE)</f>
        <v>DO</v>
      </c>
      <c r="C49" s="1">
        <f>VLOOKUP(A49,key!A:E,5,FALSE)</f>
        <v>3</v>
      </c>
      <c r="D49" s="1" t="s">
        <v>78</v>
      </c>
      <c r="E49" s="1">
        <v>3</v>
      </c>
    </row>
    <row r="50" spans="1:5" x14ac:dyDescent="0.25">
      <c r="A50" s="1" t="s">
        <v>87</v>
      </c>
      <c r="B50" s="1" t="str">
        <f>VLOOKUP(A50,key!A:E,4,FALSE)</f>
        <v>DO</v>
      </c>
      <c r="C50" s="1">
        <f>VLOOKUP(A50,key!A:E,5,FALSE)</f>
        <v>3</v>
      </c>
      <c r="D50" s="1" t="s">
        <v>78</v>
      </c>
      <c r="E50" s="1">
        <v>3</v>
      </c>
    </row>
    <row r="51" spans="1:5" x14ac:dyDescent="0.25">
      <c r="A51" s="1" t="s">
        <v>88</v>
      </c>
      <c r="B51" s="1" t="str">
        <f>VLOOKUP(A51,key!A:E,4,FALSE)</f>
        <v>DO</v>
      </c>
      <c r="C51" s="1">
        <f>VLOOKUP(A51,key!A:E,5,FALSE)</f>
        <v>3</v>
      </c>
      <c r="D51" s="1" t="s">
        <v>78</v>
      </c>
      <c r="E51" s="1">
        <v>3</v>
      </c>
    </row>
    <row r="52" spans="1:5" x14ac:dyDescent="0.25">
      <c r="A52" s="1" t="s">
        <v>89</v>
      </c>
      <c r="B52" s="1" t="str">
        <f>VLOOKUP(A52,key!A:E,4,FALSE)</f>
        <v>DO</v>
      </c>
      <c r="C52" s="1">
        <f>VLOOKUP(A52,key!A:E,5,FALSE)</f>
        <v>3</v>
      </c>
      <c r="D52" s="1" t="s">
        <v>78</v>
      </c>
      <c r="E52" s="1">
        <v>3</v>
      </c>
    </row>
    <row r="53" spans="1:5" x14ac:dyDescent="0.25">
      <c r="A53" s="1" t="s">
        <v>90</v>
      </c>
      <c r="B53" s="1" t="str">
        <f>VLOOKUP(A53,key!A:E,4,FALSE)</f>
        <v>DO</v>
      </c>
      <c r="C53" s="1">
        <f>VLOOKUP(A53,key!A:E,5,FALSE)</f>
        <v>3</v>
      </c>
      <c r="D53" s="1" t="s">
        <v>78</v>
      </c>
      <c r="E53" s="1">
        <v>3</v>
      </c>
    </row>
    <row r="54" spans="1:5" x14ac:dyDescent="0.25">
      <c r="A54" s="1" t="s">
        <v>91</v>
      </c>
      <c r="B54" s="1" t="str">
        <f>VLOOKUP(A54,key!A:E,4,FALSE)</f>
        <v>DO</v>
      </c>
      <c r="C54" s="1">
        <f>VLOOKUP(A54,key!A:E,5,FALSE)</f>
        <v>3</v>
      </c>
      <c r="D54" s="1" t="s">
        <v>78</v>
      </c>
      <c r="E54" s="1">
        <v>3</v>
      </c>
    </row>
    <row r="55" spans="1:5" x14ac:dyDescent="0.25">
      <c r="B55" s="1"/>
      <c r="C55" s="1"/>
    </row>
    <row r="56" spans="1:5" x14ac:dyDescent="0.25">
      <c r="B56" s="1"/>
      <c r="C56" s="1"/>
    </row>
    <row r="57" spans="1:5" x14ac:dyDescent="0.25">
      <c r="B57" s="1"/>
      <c r="C57" s="1"/>
    </row>
    <row r="58" spans="1:5" x14ac:dyDescent="0.25">
      <c r="B58" s="1"/>
      <c r="C58" s="1"/>
    </row>
    <row r="59" spans="1:5" x14ac:dyDescent="0.25">
      <c r="B59" s="1"/>
      <c r="C59" s="1"/>
    </row>
    <row r="60" spans="1:5" x14ac:dyDescent="0.25">
      <c r="B60" s="1"/>
      <c r="C60" s="1"/>
    </row>
    <row r="61" spans="1:5" x14ac:dyDescent="0.25">
      <c r="B61" s="1"/>
      <c r="C61" s="1"/>
    </row>
    <row r="62" spans="1:5" x14ac:dyDescent="0.25">
      <c r="B62" s="1"/>
      <c r="C62" s="1"/>
    </row>
    <row r="63" spans="1:5" x14ac:dyDescent="0.25">
      <c r="B63" s="1"/>
      <c r="C63" s="1"/>
    </row>
    <row r="64" spans="1:5" x14ac:dyDescent="0.25">
      <c r="B64" s="1"/>
      <c r="C64" s="1"/>
    </row>
    <row r="65" spans="2:3" x14ac:dyDescent="0.25">
      <c r="B65" s="1"/>
      <c r="C65" s="1"/>
    </row>
  </sheetData>
  <sortState xmlns:xlrd2="http://schemas.microsoft.com/office/spreadsheetml/2017/richdata2" ref="A2:E66">
    <sortCondition ref="D2:D66"/>
  </sortState>
  <phoneticPr fontId="1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D595-C86D-40AF-BEFA-2E8A7993C158}">
  <dimension ref="A1:O61"/>
  <sheetViews>
    <sheetView workbookViewId="0">
      <pane ySplit="1" topLeftCell="A2" activePane="bottomLeft" state="frozen"/>
      <selection pane="bottomLeft" activeCell="N61" sqref="N61"/>
    </sheetView>
  </sheetViews>
  <sheetFormatPr defaultRowHeight="15" x14ac:dyDescent="0.25"/>
  <cols>
    <col min="1" max="2" width="9.140625" style="1"/>
    <col min="3" max="3" width="8.42578125" style="1" bestFit="1" customWidth="1"/>
    <col min="4" max="4" width="14.5703125" style="1" bestFit="1" customWidth="1"/>
    <col min="5" max="5" width="3.7109375" style="1" bestFit="1" customWidth="1"/>
    <col min="6" max="6" width="16.140625" style="1" bestFit="1" customWidth="1"/>
    <col min="7" max="7" width="12.140625" style="1" customWidth="1"/>
    <col min="8" max="11" width="9.140625" style="1"/>
    <col min="12" max="12" width="9.7109375" style="1" bestFit="1" customWidth="1"/>
    <col min="13" max="13" width="11" style="1" bestFit="1" customWidth="1"/>
    <col min="14" max="15" width="9.140625" style="1"/>
  </cols>
  <sheetData>
    <row r="1" spans="1:15" x14ac:dyDescent="0.25">
      <c r="A1" s="1" t="s">
        <v>85</v>
      </c>
      <c r="B1" s="1" t="s">
        <v>77</v>
      </c>
      <c r="C1" s="1" t="s">
        <v>64</v>
      </c>
      <c r="D1" s="1" t="s">
        <v>18</v>
      </c>
      <c r="E1" s="1" t="s">
        <v>63</v>
      </c>
      <c r="F1" s="1" t="s">
        <v>84</v>
      </c>
      <c r="G1" s="1" t="s">
        <v>0</v>
      </c>
      <c r="H1" s="3" t="s">
        <v>1</v>
      </c>
      <c r="I1" s="3" t="s">
        <v>2</v>
      </c>
      <c r="J1" s="3" t="s">
        <v>3</v>
      </c>
      <c r="K1" s="3" t="s">
        <v>19</v>
      </c>
      <c r="L1" s="1" t="s">
        <v>4</v>
      </c>
      <c r="M1" s="1" t="s">
        <v>5</v>
      </c>
      <c r="N1" s="3" t="s">
        <v>6</v>
      </c>
      <c r="O1" s="3" t="s">
        <v>7</v>
      </c>
    </row>
    <row r="2" spans="1:15" x14ac:dyDescent="0.25">
      <c r="A2" s="1" t="s">
        <v>67</v>
      </c>
      <c r="B2" s="1" t="s">
        <v>78</v>
      </c>
      <c r="C2" s="1" t="s">
        <v>65</v>
      </c>
      <c r="D2" s="1" t="s">
        <v>45</v>
      </c>
      <c r="E2" s="1">
        <v>0</v>
      </c>
      <c r="F2" s="1" t="s">
        <v>175</v>
      </c>
      <c r="G2" s="2">
        <v>44491</v>
      </c>
      <c r="H2" s="1">
        <v>64</v>
      </c>
      <c r="I2" s="1">
        <v>36</v>
      </c>
      <c r="J2" s="1">
        <v>23</v>
      </c>
      <c r="K2" s="3">
        <v>71</v>
      </c>
      <c r="L2" s="1">
        <v>1.22</v>
      </c>
      <c r="M2" s="1">
        <v>0.33</v>
      </c>
      <c r="N2" s="3">
        <v>4.6539306640624991</v>
      </c>
      <c r="O2" s="3">
        <v>27</v>
      </c>
    </row>
    <row r="3" spans="1:15" x14ac:dyDescent="0.25">
      <c r="A3" s="1" t="s">
        <v>68</v>
      </c>
      <c r="B3" s="1" t="s">
        <v>78</v>
      </c>
      <c r="C3" s="1" t="s">
        <v>65</v>
      </c>
      <c r="D3" s="1" t="s">
        <v>45</v>
      </c>
      <c r="E3" s="1">
        <v>0</v>
      </c>
      <c r="F3" s="1" t="s">
        <v>175</v>
      </c>
      <c r="G3" s="2">
        <v>44491</v>
      </c>
      <c r="H3" s="1">
        <v>59</v>
      </c>
      <c r="I3" s="1">
        <v>32</v>
      </c>
      <c r="J3" s="1">
        <v>22</v>
      </c>
      <c r="K3" s="3">
        <v>55</v>
      </c>
      <c r="L3" s="1">
        <v>1.1100000000000001</v>
      </c>
      <c r="M3" s="1">
        <v>0.32000000000000006</v>
      </c>
      <c r="N3" s="3">
        <v>5.4046421493920995</v>
      </c>
      <c r="O3" s="3">
        <v>29</v>
      </c>
    </row>
    <row r="4" spans="1:15" x14ac:dyDescent="0.25">
      <c r="A4" s="1" t="s">
        <v>69</v>
      </c>
      <c r="B4" s="1" t="s">
        <v>78</v>
      </c>
      <c r="C4" s="1" t="s">
        <v>65</v>
      </c>
      <c r="D4" s="1" t="s">
        <v>45</v>
      </c>
      <c r="E4" s="1">
        <v>0</v>
      </c>
      <c r="F4" s="1" t="s">
        <v>175</v>
      </c>
      <c r="G4" s="2">
        <v>44491</v>
      </c>
      <c r="H4" s="1">
        <v>57</v>
      </c>
      <c r="I4" s="1">
        <v>30</v>
      </c>
      <c r="J4" s="1">
        <v>20</v>
      </c>
      <c r="K4" s="3">
        <v>46</v>
      </c>
      <c r="L4" s="1">
        <v>1.27</v>
      </c>
      <c r="M4" s="1">
        <v>0.45000000000000007</v>
      </c>
      <c r="N4" s="3">
        <v>6.8577106046124845</v>
      </c>
      <c r="O4" s="3">
        <v>35</v>
      </c>
    </row>
    <row r="5" spans="1:15" x14ac:dyDescent="0.25">
      <c r="A5" s="1" t="s">
        <v>70</v>
      </c>
      <c r="B5" s="1" t="s">
        <v>78</v>
      </c>
      <c r="C5" s="1" t="s">
        <v>65</v>
      </c>
      <c r="D5" s="1" t="s">
        <v>45</v>
      </c>
      <c r="E5" s="1">
        <v>0</v>
      </c>
      <c r="F5" s="1" t="s">
        <v>175</v>
      </c>
      <c r="G5" s="2">
        <v>44491</v>
      </c>
      <c r="H5" s="1">
        <v>58</v>
      </c>
      <c r="I5" s="1">
        <v>32</v>
      </c>
      <c r="J5" s="1">
        <v>22</v>
      </c>
      <c r="K5" s="3">
        <v>54</v>
      </c>
      <c r="L5" s="1">
        <v>0.87</v>
      </c>
      <c r="M5" s="1">
        <v>0.17000000000000004</v>
      </c>
      <c r="N5" s="3">
        <v>4.4589774078477999</v>
      </c>
      <c r="O5" s="3">
        <v>20</v>
      </c>
    </row>
    <row r="6" spans="1:15" x14ac:dyDescent="0.25">
      <c r="A6" s="1" t="s">
        <v>71</v>
      </c>
      <c r="B6" s="1" t="s">
        <v>78</v>
      </c>
      <c r="C6" s="1" t="s">
        <v>65</v>
      </c>
      <c r="D6" s="1" t="s">
        <v>45</v>
      </c>
      <c r="E6" s="1">
        <v>0</v>
      </c>
      <c r="F6" s="1" t="s">
        <v>175</v>
      </c>
      <c r="G6" s="2">
        <v>44491</v>
      </c>
      <c r="H6" s="1">
        <v>65</v>
      </c>
      <c r="I6" s="1">
        <v>32</v>
      </c>
      <c r="J6" s="1">
        <v>25</v>
      </c>
      <c r="K6" s="3">
        <v>69</v>
      </c>
      <c r="L6" s="1">
        <v>1.7</v>
      </c>
      <c r="M6" s="1">
        <v>0.66</v>
      </c>
      <c r="N6" s="3">
        <v>6.1902594446973147</v>
      </c>
      <c r="O6" s="3">
        <v>39</v>
      </c>
    </row>
    <row r="7" spans="1:15" x14ac:dyDescent="0.25">
      <c r="A7" s="1" t="s">
        <v>72</v>
      </c>
      <c r="B7" s="1" t="s">
        <v>78</v>
      </c>
      <c r="C7" s="1" t="s">
        <v>65</v>
      </c>
      <c r="D7" s="1" t="s">
        <v>45</v>
      </c>
      <c r="E7" s="1">
        <v>0</v>
      </c>
      <c r="F7" s="1" t="s">
        <v>175</v>
      </c>
      <c r="G7" s="2">
        <v>44491</v>
      </c>
      <c r="H7" s="1">
        <v>58</v>
      </c>
      <c r="I7" s="1">
        <v>32</v>
      </c>
      <c r="J7" s="1">
        <v>22</v>
      </c>
      <c r="K7" s="3">
        <v>54</v>
      </c>
      <c r="L7" s="1">
        <v>1.06</v>
      </c>
      <c r="M7" s="1">
        <v>0.29000000000000004</v>
      </c>
      <c r="N7" s="3">
        <v>5.4327770716306532</v>
      </c>
      <c r="O7" s="3">
        <v>27</v>
      </c>
    </row>
    <row r="8" spans="1:15" x14ac:dyDescent="0.25">
      <c r="A8" s="1" t="s">
        <v>73</v>
      </c>
      <c r="B8" s="1" t="s">
        <v>78</v>
      </c>
      <c r="C8" s="1" t="s">
        <v>65</v>
      </c>
      <c r="D8" s="1" t="s">
        <v>45</v>
      </c>
      <c r="E8" s="1">
        <v>0</v>
      </c>
      <c r="F8" s="1" t="s">
        <v>175</v>
      </c>
      <c r="G8" s="2">
        <v>44491</v>
      </c>
      <c r="H8" s="1">
        <v>57</v>
      </c>
      <c r="I8" s="1">
        <v>31</v>
      </c>
      <c r="J8" s="1">
        <v>19</v>
      </c>
      <c r="K8" s="3">
        <v>45</v>
      </c>
      <c r="L8" s="1">
        <v>1.05</v>
      </c>
      <c r="M8" s="1">
        <v>0.19000000000000006</v>
      </c>
      <c r="N8" s="3">
        <v>5.6697607360969364</v>
      </c>
      <c r="O8" s="3">
        <v>18</v>
      </c>
    </row>
    <row r="9" spans="1:15" x14ac:dyDescent="0.25">
      <c r="A9" s="1" t="s">
        <v>74</v>
      </c>
      <c r="B9" s="1" t="s">
        <v>78</v>
      </c>
      <c r="C9" s="1" t="s">
        <v>65</v>
      </c>
      <c r="D9" s="1" t="s">
        <v>45</v>
      </c>
      <c r="E9" s="1">
        <v>0</v>
      </c>
      <c r="F9" s="1" t="s">
        <v>175</v>
      </c>
      <c r="G9" s="2">
        <v>44491</v>
      </c>
      <c r="H9" s="1">
        <v>56</v>
      </c>
      <c r="I9" s="1">
        <v>32</v>
      </c>
      <c r="J9" s="1">
        <v>20</v>
      </c>
      <c r="K9" s="3">
        <v>48</v>
      </c>
      <c r="L9" s="1">
        <v>0.68</v>
      </c>
      <c r="M9" s="1">
        <v>0.14000000000000001</v>
      </c>
      <c r="N9" s="3">
        <v>3.8720845481049575</v>
      </c>
      <c r="O9" s="3">
        <v>21</v>
      </c>
    </row>
    <row r="10" spans="1:15" x14ac:dyDescent="0.25">
      <c r="A10" s="1" t="s">
        <v>75</v>
      </c>
      <c r="B10" s="1" t="s">
        <v>78</v>
      </c>
      <c r="C10" s="1" t="s">
        <v>65</v>
      </c>
      <c r="D10" s="1" t="s">
        <v>45</v>
      </c>
      <c r="E10" s="1">
        <v>0</v>
      </c>
      <c r="F10" s="1" t="s">
        <v>175</v>
      </c>
      <c r="G10" s="2">
        <v>44491</v>
      </c>
      <c r="H10" s="1">
        <v>63</v>
      </c>
      <c r="I10" s="1">
        <v>34</v>
      </c>
      <c r="J10" s="1">
        <v>22</v>
      </c>
      <c r="K10" s="3">
        <v>63</v>
      </c>
      <c r="L10" s="1">
        <v>1.1100000000000001</v>
      </c>
      <c r="M10" s="1">
        <v>0.29000000000000015</v>
      </c>
      <c r="N10" s="3">
        <v>4.4391654368978646</v>
      </c>
      <c r="O10" s="3">
        <v>26</v>
      </c>
    </row>
    <row r="11" spans="1:15" x14ac:dyDescent="0.25">
      <c r="A11" s="1" t="s">
        <v>76</v>
      </c>
      <c r="B11" s="1" t="s">
        <v>78</v>
      </c>
      <c r="C11" s="1" t="s">
        <v>65</v>
      </c>
      <c r="D11" s="1" t="s">
        <v>45</v>
      </c>
      <c r="E11" s="1">
        <v>0</v>
      </c>
      <c r="F11" s="1" t="s">
        <v>175</v>
      </c>
      <c r="G11" s="2">
        <v>44491</v>
      </c>
      <c r="H11" s="1">
        <v>67</v>
      </c>
      <c r="I11" s="1">
        <v>35</v>
      </c>
      <c r="J11" s="1">
        <v>22</v>
      </c>
      <c r="K11" s="3">
        <v>69</v>
      </c>
      <c r="L11" s="1">
        <v>1.33</v>
      </c>
      <c r="M11" s="1">
        <v>0.43000000000000005</v>
      </c>
      <c r="N11" s="3">
        <v>4.422086493351908</v>
      </c>
      <c r="O11" s="3">
        <v>32</v>
      </c>
    </row>
    <row r="12" spans="1:15" x14ac:dyDescent="0.25">
      <c r="A12" s="1" t="s">
        <v>79</v>
      </c>
      <c r="B12" s="1" t="s">
        <v>78</v>
      </c>
      <c r="C12" s="1" t="s">
        <v>65</v>
      </c>
      <c r="D12" s="1" t="s">
        <v>45</v>
      </c>
      <c r="E12" s="1">
        <v>0</v>
      </c>
      <c r="F12" s="1" t="s">
        <v>175</v>
      </c>
      <c r="G12" s="2">
        <v>44491</v>
      </c>
      <c r="H12" s="1">
        <v>55</v>
      </c>
      <c r="I12" s="1">
        <v>30</v>
      </c>
      <c r="J12" s="1">
        <v>21</v>
      </c>
      <c r="K12" s="3">
        <v>46</v>
      </c>
      <c r="L12" s="1">
        <v>0.73</v>
      </c>
      <c r="M12" s="1">
        <v>0.25</v>
      </c>
      <c r="N12" s="3">
        <v>4.3876784372652144</v>
      </c>
      <c r="O12" s="3">
        <v>34</v>
      </c>
    </row>
    <row r="13" spans="1:15" x14ac:dyDescent="0.25">
      <c r="A13" s="1" t="s">
        <v>80</v>
      </c>
      <c r="B13" s="1" t="s">
        <v>78</v>
      </c>
      <c r="C13" s="1" t="s">
        <v>65</v>
      </c>
      <c r="D13" s="1" t="s">
        <v>45</v>
      </c>
      <c r="E13" s="1">
        <v>0</v>
      </c>
      <c r="F13" s="1" t="s">
        <v>175</v>
      </c>
      <c r="G13" s="2">
        <v>44491</v>
      </c>
      <c r="H13" s="1">
        <v>42</v>
      </c>
      <c r="I13" s="1">
        <v>22</v>
      </c>
      <c r="J13" s="1">
        <v>15</v>
      </c>
      <c r="K13" s="3">
        <v>18</v>
      </c>
      <c r="L13" s="1">
        <v>0.43</v>
      </c>
      <c r="M13" s="1">
        <v>0.13</v>
      </c>
      <c r="N13" s="3">
        <v>5.8039088651333541</v>
      </c>
      <c r="O13" s="3">
        <v>30</v>
      </c>
    </row>
    <row r="14" spans="1:15" x14ac:dyDescent="0.25">
      <c r="A14" s="1" t="s">
        <v>81</v>
      </c>
      <c r="B14" s="1" t="s">
        <v>78</v>
      </c>
      <c r="C14" s="1" t="s">
        <v>65</v>
      </c>
      <c r="D14" s="1" t="s">
        <v>45</v>
      </c>
      <c r="E14" s="1">
        <v>0</v>
      </c>
      <c r="F14" s="1" t="s">
        <v>175</v>
      </c>
      <c r="G14" s="2">
        <v>44491</v>
      </c>
      <c r="H14" s="1">
        <v>61</v>
      </c>
      <c r="I14" s="1">
        <v>34</v>
      </c>
      <c r="J14" s="1">
        <v>23</v>
      </c>
      <c r="K14" s="3">
        <v>64</v>
      </c>
      <c r="L14" s="1">
        <v>1.24</v>
      </c>
      <c r="M14" s="1">
        <v>0.22</v>
      </c>
      <c r="N14" s="3">
        <v>5.4630123226173124</v>
      </c>
      <c r="O14" s="3">
        <v>18</v>
      </c>
    </row>
    <row r="15" spans="1:15" x14ac:dyDescent="0.25">
      <c r="A15" s="1" t="s">
        <v>82</v>
      </c>
      <c r="B15" s="1" t="s">
        <v>78</v>
      </c>
      <c r="C15" s="1" t="s">
        <v>65</v>
      </c>
      <c r="D15" s="1" t="s">
        <v>45</v>
      </c>
      <c r="E15" s="1">
        <v>0</v>
      </c>
      <c r="F15" s="1" t="s">
        <v>175</v>
      </c>
      <c r="G15" s="2">
        <v>44491</v>
      </c>
      <c r="H15" s="1">
        <v>54</v>
      </c>
      <c r="I15" s="1">
        <v>26</v>
      </c>
      <c r="J15" s="1">
        <v>21</v>
      </c>
      <c r="K15" s="3">
        <v>39</v>
      </c>
      <c r="L15" s="1">
        <v>0.93</v>
      </c>
      <c r="M15" s="1">
        <v>0.22</v>
      </c>
      <c r="N15" s="3">
        <v>5.9061118731900617</v>
      </c>
      <c r="O15" s="3">
        <v>24</v>
      </c>
    </row>
    <row r="16" spans="1:15" x14ac:dyDescent="0.25">
      <c r="A16" s="1" t="s">
        <v>83</v>
      </c>
      <c r="B16" s="1" t="s">
        <v>78</v>
      </c>
      <c r="C16" s="1" t="s">
        <v>65</v>
      </c>
      <c r="D16" s="1" t="s">
        <v>45</v>
      </c>
      <c r="E16" s="1">
        <v>0</v>
      </c>
      <c r="F16" s="1" t="s">
        <v>175</v>
      </c>
      <c r="G16" s="2">
        <v>44491</v>
      </c>
      <c r="H16" s="3">
        <v>55</v>
      </c>
      <c r="I16" s="1">
        <v>30</v>
      </c>
      <c r="J16" s="1">
        <v>21</v>
      </c>
      <c r="K16" s="3">
        <v>46</v>
      </c>
      <c r="L16" s="1">
        <v>0.65</v>
      </c>
      <c r="M16" s="1">
        <v>0.18</v>
      </c>
      <c r="N16" s="3">
        <v>3.9068369646882046</v>
      </c>
      <c r="O16" s="3">
        <v>28</v>
      </c>
    </row>
    <row r="17" spans="1:15" x14ac:dyDescent="0.25">
      <c r="A17" s="1" t="s">
        <v>145</v>
      </c>
      <c r="B17" s="1" t="s">
        <v>78</v>
      </c>
      <c r="C17" s="1" t="s">
        <v>65</v>
      </c>
      <c r="D17" s="1" t="s">
        <v>20</v>
      </c>
      <c r="E17" s="1">
        <v>3</v>
      </c>
      <c r="F17" s="1" t="s">
        <v>176</v>
      </c>
      <c r="G17" s="4">
        <v>44498</v>
      </c>
      <c r="H17" s="3">
        <v>50</v>
      </c>
      <c r="I17" s="1">
        <v>29</v>
      </c>
      <c r="J17" s="1">
        <v>17</v>
      </c>
      <c r="K17" s="3">
        <v>33</v>
      </c>
      <c r="L17" s="1">
        <v>0.94</v>
      </c>
      <c r="M17" s="1">
        <v>0.34</v>
      </c>
      <c r="N17" s="3">
        <v>7.52</v>
      </c>
      <c r="O17" s="3">
        <v>36</v>
      </c>
    </row>
    <row r="18" spans="1:15" x14ac:dyDescent="0.25">
      <c r="A18" s="1" t="s">
        <v>146</v>
      </c>
      <c r="B18" s="1" t="s">
        <v>78</v>
      </c>
      <c r="C18" s="1" t="s">
        <v>65</v>
      </c>
      <c r="D18" s="1" t="s">
        <v>20</v>
      </c>
      <c r="E18" s="1">
        <v>3</v>
      </c>
      <c r="F18" s="1" t="s">
        <v>176</v>
      </c>
      <c r="G18" s="4">
        <v>44498</v>
      </c>
      <c r="H18" s="3">
        <v>46</v>
      </c>
      <c r="I18" s="1">
        <v>26</v>
      </c>
      <c r="J18" s="1">
        <v>17</v>
      </c>
      <c r="K18" s="3">
        <v>27</v>
      </c>
      <c r="L18" s="1">
        <v>0.25</v>
      </c>
      <c r="M18" s="1">
        <v>0.06</v>
      </c>
      <c r="N18" s="3">
        <v>2.5684227829374544</v>
      </c>
      <c r="O18" s="3">
        <v>24</v>
      </c>
    </row>
    <row r="19" spans="1:15" x14ac:dyDescent="0.25">
      <c r="A19" s="1" t="s">
        <v>147</v>
      </c>
      <c r="B19" s="1" t="s">
        <v>78</v>
      </c>
      <c r="C19" s="1" t="s">
        <v>65</v>
      </c>
      <c r="D19" s="1" t="s">
        <v>20</v>
      </c>
      <c r="E19" s="1">
        <v>3</v>
      </c>
      <c r="F19" s="1" t="s">
        <v>176</v>
      </c>
      <c r="G19" s="4">
        <v>44498</v>
      </c>
      <c r="H19" s="3">
        <v>68</v>
      </c>
      <c r="I19" s="1">
        <v>35</v>
      </c>
      <c r="J19" s="1">
        <v>24</v>
      </c>
      <c r="K19" s="3">
        <v>76</v>
      </c>
      <c r="L19" s="1">
        <v>1.39</v>
      </c>
      <c r="M19" s="1">
        <v>0.25</v>
      </c>
      <c r="N19" s="3">
        <v>4.4206696519438227</v>
      </c>
      <c r="O19" s="3">
        <v>18</v>
      </c>
    </row>
    <row r="20" spans="1:15" x14ac:dyDescent="0.25">
      <c r="A20" s="1" t="s">
        <v>148</v>
      </c>
      <c r="B20" s="1" t="s">
        <v>78</v>
      </c>
      <c r="C20" s="1" t="s">
        <v>65</v>
      </c>
      <c r="D20" s="1" t="s">
        <v>20</v>
      </c>
      <c r="E20" s="1">
        <v>3</v>
      </c>
      <c r="F20" s="1" t="s">
        <v>176</v>
      </c>
      <c r="G20" s="4">
        <v>44498</v>
      </c>
      <c r="H20" s="3">
        <v>56</v>
      </c>
      <c r="I20" s="1">
        <v>29</v>
      </c>
      <c r="J20" s="1">
        <v>20</v>
      </c>
      <c r="K20" s="3">
        <v>43</v>
      </c>
      <c r="L20" s="1">
        <v>0.59000000000000008</v>
      </c>
      <c r="M20" s="1">
        <v>0.12</v>
      </c>
      <c r="N20" s="3">
        <v>3.3596027696793014</v>
      </c>
      <c r="O20" s="3">
        <v>20</v>
      </c>
    </row>
    <row r="21" spans="1:15" x14ac:dyDescent="0.25">
      <c r="A21" s="1" t="s">
        <v>149</v>
      </c>
      <c r="B21" s="1" t="s">
        <v>78</v>
      </c>
      <c r="C21" s="1" t="s">
        <v>65</v>
      </c>
      <c r="D21" s="1" t="s">
        <v>20</v>
      </c>
      <c r="E21" s="1">
        <v>3</v>
      </c>
      <c r="F21" s="1" t="s">
        <v>176</v>
      </c>
      <c r="G21" s="4">
        <v>44498</v>
      </c>
      <c r="H21" s="3">
        <v>61</v>
      </c>
      <c r="I21" s="1">
        <v>30</v>
      </c>
      <c r="J21" s="1">
        <v>22</v>
      </c>
      <c r="K21" s="3">
        <v>54</v>
      </c>
      <c r="L21" s="1">
        <v>1.02</v>
      </c>
      <c r="M21" s="1">
        <v>0.23</v>
      </c>
      <c r="N21" s="3">
        <v>4.4937682008626281</v>
      </c>
      <c r="O21" s="3">
        <v>23</v>
      </c>
    </row>
    <row r="22" spans="1:15" x14ac:dyDescent="0.25">
      <c r="A22" s="1" t="s">
        <v>150</v>
      </c>
      <c r="B22" s="1" t="s">
        <v>78</v>
      </c>
      <c r="C22" s="1" t="s">
        <v>65</v>
      </c>
      <c r="D22" s="1" t="s">
        <v>20</v>
      </c>
      <c r="E22" s="1">
        <v>3</v>
      </c>
      <c r="F22" s="1" t="s">
        <v>176</v>
      </c>
      <c r="G22" s="4">
        <v>44498</v>
      </c>
      <c r="H22" s="3">
        <v>59</v>
      </c>
      <c r="I22" s="1">
        <v>29</v>
      </c>
      <c r="J22" s="1">
        <v>21</v>
      </c>
      <c r="K22" s="3">
        <v>48</v>
      </c>
      <c r="L22" s="1">
        <v>1.21</v>
      </c>
      <c r="M22" s="1">
        <v>0.43</v>
      </c>
      <c r="N22" s="3">
        <v>5.8915468475355315</v>
      </c>
      <c r="O22" s="3">
        <v>36</v>
      </c>
    </row>
    <row r="23" spans="1:15" x14ac:dyDescent="0.25">
      <c r="A23" s="1" t="s">
        <v>151</v>
      </c>
      <c r="B23" s="1" t="s">
        <v>78</v>
      </c>
      <c r="C23" s="1" t="s">
        <v>65</v>
      </c>
      <c r="D23" s="1" t="s">
        <v>20</v>
      </c>
      <c r="E23" s="1">
        <v>3</v>
      </c>
      <c r="F23" s="1" t="s">
        <v>176</v>
      </c>
      <c r="G23" s="4">
        <v>44498</v>
      </c>
      <c r="H23" s="3">
        <v>57</v>
      </c>
      <c r="I23" s="1">
        <v>29</v>
      </c>
      <c r="J23" s="1">
        <v>21</v>
      </c>
      <c r="K23" s="3">
        <v>46</v>
      </c>
      <c r="L23" s="1">
        <v>1.1100000000000001</v>
      </c>
      <c r="M23" s="1">
        <v>0.2</v>
      </c>
      <c r="N23" s="3">
        <v>5.9937470638739052</v>
      </c>
      <c r="O23" s="3">
        <v>18</v>
      </c>
    </row>
    <row r="24" spans="1:15" x14ac:dyDescent="0.25">
      <c r="A24" s="1" t="s">
        <v>152</v>
      </c>
      <c r="B24" s="1" t="s">
        <v>78</v>
      </c>
      <c r="C24" s="1" t="s">
        <v>65</v>
      </c>
      <c r="D24" s="1" t="s">
        <v>20</v>
      </c>
      <c r="E24" s="1">
        <v>3</v>
      </c>
      <c r="F24" s="1" t="s">
        <v>176</v>
      </c>
      <c r="G24" s="4">
        <v>44498</v>
      </c>
      <c r="H24" s="3">
        <v>46</v>
      </c>
      <c r="I24" s="1">
        <v>23</v>
      </c>
      <c r="J24" s="1">
        <v>18</v>
      </c>
      <c r="K24" s="3">
        <v>25</v>
      </c>
      <c r="L24" s="1">
        <v>0.35</v>
      </c>
      <c r="M24" s="1">
        <v>0.09</v>
      </c>
      <c r="N24" s="3">
        <v>3.595791896112436</v>
      </c>
      <c r="O24" s="3">
        <v>26</v>
      </c>
    </row>
    <row r="25" spans="1:15" x14ac:dyDescent="0.25">
      <c r="A25" s="1" t="s">
        <v>153</v>
      </c>
      <c r="B25" s="1" t="s">
        <v>78</v>
      </c>
      <c r="C25" s="1" t="s">
        <v>65</v>
      </c>
      <c r="D25" s="1" t="s">
        <v>20</v>
      </c>
      <c r="E25" s="1">
        <v>3</v>
      </c>
      <c r="F25" s="1" t="s">
        <v>176</v>
      </c>
      <c r="G25" s="4">
        <v>44498</v>
      </c>
      <c r="H25" s="3">
        <v>68</v>
      </c>
      <c r="I25" s="1">
        <v>37</v>
      </c>
      <c r="J25" s="1">
        <v>24</v>
      </c>
      <c r="K25" s="3">
        <v>81</v>
      </c>
      <c r="L25" s="1">
        <v>1.77</v>
      </c>
      <c r="M25" s="1">
        <v>0.52</v>
      </c>
      <c r="N25" s="3">
        <v>5.6291980460004076</v>
      </c>
      <c r="O25" s="3">
        <v>29</v>
      </c>
    </row>
    <row r="26" spans="1:15" x14ac:dyDescent="0.25">
      <c r="A26" s="1" t="s">
        <v>154</v>
      </c>
      <c r="B26" s="1" t="s">
        <v>78</v>
      </c>
      <c r="C26" s="1" t="s">
        <v>65</v>
      </c>
      <c r="D26" s="1" t="s">
        <v>20</v>
      </c>
      <c r="E26" s="1">
        <v>3</v>
      </c>
      <c r="F26" s="1" t="s">
        <v>176</v>
      </c>
      <c r="G26" s="4">
        <v>44498</v>
      </c>
      <c r="H26" s="3">
        <v>69</v>
      </c>
      <c r="I26" s="1">
        <v>35</v>
      </c>
      <c r="J26" s="1">
        <v>26</v>
      </c>
      <c r="K26" s="3">
        <v>84</v>
      </c>
      <c r="L26" s="1">
        <v>1.08</v>
      </c>
      <c r="M26" s="1">
        <v>0.21</v>
      </c>
      <c r="N26" s="3">
        <v>3.2875811621599405</v>
      </c>
      <c r="O26" s="3">
        <v>19</v>
      </c>
    </row>
    <row r="27" spans="1:15" x14ac:dyDescent="0.25">
      <c r="A27" s="1" t="s">
        <v>155</v>
      </c>
      <c r="B27" s="1" t="s">
        <v>78</v>
      </c>
      <c r="C27" s="1" t="s">
        <v>65</v>
      </c>
      <c r="D27" s="1" t="s">
        <v>21</v>
      </c>
      <c r="E27" s="1">
        <v>3</v>
      </c>
      <c r="F27" s="1" t="s">
        <v>177</v>
      </c>
      <c r="G27" s="4">
        <v>44498</v>
      </c>
      <c r="H27" s="3">
        <v>64</v>
      </c>
      <c r="I27" s="1">
        <v>33</v>
      </c>
      <c r="J27" s="1">
        <v>23</v>
      </c>
      <c r="K27" s="3">
        <v>65</v>
      </c>
      <c r="L27" s="1">
        <v>1.22</v>
      </c>
      <c r="M27" s="1">
        <v>0.38</v>
      </c>
      <c r="N27" s="3">
        <v>4.6539306640624991</v>
      </c>
      <c r="O27" s="3">
        <v>31</v>
      </c>
    </row>
    <row r="28" spans="1:15" x14ac:dyDescent="0.25">
      <c r="A28" s="1" t="s">
        <v>156</v>
      </c>
      <c r="B28" s="1" t="s">
        <v>78</v>
      </c>
      <c r="C28" s="1" t="s">
        <v>65</v>
      </c>
      <c r="D28" s="1" t="s">
        <v>21</v>
      </c>
      <c r="E28" s="1">
        <v>3</v>
      </c>
      <c r="F28" s="1" t="s">
        <v>177</v>
      </c>
      <c r="G28" s="4">
        <v>44498</v>
      </c>
      <c r="H28" s="3">
        <v>54</v>
      </c>
      <c r="I28" s="1">
        <v>30</v>
      </c>
      <c r="J28" s="1">
        <v>19</v>
      </c>
      <c r="K28" s="3">
        <v>41</v>
      </c>
      <c r="L28" s="1">
        <v>1.08</v>
      </c>
      <c r="M28" s="1">
        <v>0.35</v>
      </c>
      <c r="N28" s="3">
        <v>6.8587105624142648</v>
      </c>
      <c r="O28" s="3">
        <v>32</v>
      </c>
    </row>
    <row r="29" spans="1:15" x14ac:dyDescent="0.25">
      <c r="A29" s="1" t="s">
        <v>157</v>
      </c>
      <c r="B29" s="1" t="s">
        <v>78</v>
      </c>
      <c r="C29" s="1" t="s">
        <v>65</v>
      </c>
      <c r="D29" s="1" t="s">
        <v>21</v>
      </c>
      <c r="E29" s="1">
        <v>3</v>
      </c>
      <c r="F29" s="1" t="s">
        <v>177</v>
      </c>
      <c r="G29" s="4">
        <v>44498</v>
      </c>
      <c r="H29" s="3">
        <v>51</v>
      </c>
      <c r="I29" s="1">
        <v>26</v>
      </c>
      <c r="J29" s="1">
        <v>18</v>
      </c>
      <c r="K29" s="3">
        <v>32</v>
      </c>
      <c r="L29" s="1">
        <v>0.77</v>
      </c>
      <c r="M29" s="1">
        <v>0.22</v>
      </c>
      <c r="N29" s="3">
        <v>5.8047055808097943</v>
      </c>
      <c r="O29" s="3">
        <v>29</v>
      </c>
    </row>
    <row r="30" spans="1:15" x14ac:dyDescent="0.25">
      <c r="A30" s="1" t="s">
        <v>158</v>
      </c>
      <c r="B30" s="1" t="s">
        <v>78</v>
      </c>
      <c r="C30" s="1" t="s">
        <v>65</v>
      </c>
      <c r="D30" s="1" t="s">
        <v>21</v>
      </c>
      <c r="E30" s="1">
        <v>3</v>
      </c>
      <c r="F30" s="1" t="s">
        <v>177</v>
      </c>
      <c r="G30" s="4">
        <v>44498</v>
      </c>
      <c r="H30" s="3">
        <v>48</v>
      </c>
      <c r="I30" s="1">
        <v>26</v>
      </c>
      <c r="J30" s="1">
        <v>17</v>
      </c>
      <c r="K30" s="3">
        <v>28</v>
      </c>
      <c r="L30" s="1">
        <v>0.59</v>
      </c>
      <c r="M30" s="1">
        <v>0.23</v>
      </c>
      <c r="N30" s="3">
        <v>5.3349247685185182</v>
      </c>
      <c r="O30" s="3">
        <v>39</v>
      </c>
    </row>
    <row r="31" spans="1:15" x14ac:dyDescent="0.25">
      <c r="A31" s="1" t="s">
        <v>159</v>
      </c>
      <c r="B31" s="1" t="s">
        <v>78</v>
      </c>
      <c r="C31" s="1" t="s">
        <v>65</v>
      </c>
      <c r="D31" s="1" t="s">
        <v>21</v>
      </c>
      <c r="E31" s="1">
        <v>3</v>
      </c>
      <c r="F31" s="1" t="s">
        <v>177</v>
      </c>
      <c r="G31" s="4">
        <v>44498</v>
      </c>
      <c r="H31" s="3">
        <v>53</v>
      </c>
      <c r="I31" s="1">
        <v>27</v>
      </c>
      <c r="J31" s="1">
        <v>18</v>
      </c>
      <c r="K31" s="3">
        <v>34</v>
      </c>
      <c r="L31" s="1">
        <v>0.84</v>
      </c>
      <c r="M31" s="1">
        <v>0.27</v>
      </c>
      <c r="N31" s="3">
        <v>5.6422415819770695</v>
      </c>
      <c r="O31" s="3">
        <v>32</v>
      </c>
    </row>
    <row r="32" spans="1:15" x14ac:dyDescent="0.25">
      <c r="A32" s="1" t="s">
        <v>160</v>
      </c>
      <c r="B32" s="1" t="s">
        <v>78</v>
      </c>
      <c r="C32" s="1" t="s">
        <v>65</v>
      </c>
      <c r="D32" s="1" t="s">
        <v>21</v>
      </c>
      <c r="E32" s="1">
        <v>3</v>
      </c>
      <c r="F32" s="1" t="s">
        <v>177</v>
      </c>
      <c r="G32" s="4">
        <v>44498</v>
      </c>
      <c r="H32" s="3">
        <v>59</v>
      </c>
      <c r="I32" s="1">
        <v>30</v>
      </c>
      <c r="J32" s="1">
        <v>21</v>
      </c>
      <c r="K32" s="3">
        <v>50</v>
      </c>
      <c r="L32" s="1">
        <v>1.1599999999999999</v>
      </c>
      <c r="M32" s="1">
        <v>0.37</v>
      </c>
      <c r="N32" s="3">
        <v>5.6480944984638146</v>
      </c>
      <c r="O32" s="3">
        <v>32</v>
      </c>
    </row>
    <row r="33" spans="1:15" x14ac:dyDescent="0.25">
      <c r="A33" s="1" t="s">
        <v>161</v>
      </c>
      <c r="B33" s="1" t="s">
        <v>78</v>
      </c>
      <c r="C33" s="1" t="s">
        <v>65</v>
      </c>
      <c r="D33" s="1" t="s">
        <v>21</v>
      </c>
      <c r="E33" s="1">
        <v>3</v>
      </c>
      <c r="F33" s="1" t="s">
        <v>177</v>
      </c>
      <c r="G33" s="4">
        <v>44498</v>
      </c>
      <c r="H33" s="3">
        <v>54</v>
      </c>
      <c r="I33" s="1">
        <v>30</v>
      </c>
      <c r="J33" s="1">
        <v>18</v>
      </c>
      <c r="K33" s="3">
        <v>39</v>
      </c>
      <c r="L33" s="1">
        <v>0.26</v>
      </c>
      <c r="M33" s="1">
        <v>0.03</v>
      </c>
      <c r="N33" s="3">
        <v>1.6511710613219528</v>
      </c>
      <c r="O33" s="3">
        <v>12</v>
      </c>
    </row>
    <row r="34" spans="1:15" x14ac:dyDescent="0.25">
      <c r="A34" s="1" t="s">
        <v>162</v>
      </c>
      <c r="B34" s="1" t="s">
        <v>78</v>
      </c>
      <c r="C34" s="1" t="s">
        <v>65</v>
      </c>
      <c r="D34" s="1" t="s">
        <v>21</v>
      </c>
      <c r="E34" s="1">
        <v>3</v>
      </c>
      <c r="F34" s="1" t="s">
        <v>177</v>
      </c>
      <c r="G34" s="4">
        <v>44498</v>
      </c>
      <c r="H34" s="3">
        <v>63</v>
      </c>
      <c r="I34" s="1">
        <v>34</v>
      </c>
      <c r="J34" s="1">
        <v>21</v>
      </c>
      <c r="K34" s="3">
        <v>60</v>
      </c>
      <c r="L34" s="1">
        <v>1.62</v>
      </c>
      <c r="M34" s="1">
        <v>0.39</v>
      </c>
      <c r="N34" s="3">
        <v>6.4787819889860723</v>
      </c>
      <c r="O34" s="3">
        <v>24</v>
      </c>
    </row>
    <row r="35" spans="1:15" x14ac:dyDescent="0.25">
      <c r="A35" s="1" t="s">
        <v>163</v>
      </c>
      <c r="B35" s="1" t="s">
        <v>78</v>
      </c>
      <c r="C35" s="1" t="s">
        <v>65</v>
      </c>
      <c r="D35" s="1" t="s">
        <v>21</v>
      </c>
      <c r="E35" s="1">
        <v>3</v>
      </c>
      <c r="F35" s="1" t="s">
        <v>177</v>
      </c>
      <c r="G35" s="4">
        <v>44498</v>
      </c>
      <c r="H35" s="3">
        <v>63</v>
      </c>
      <c r="I35" s="1">
        <v>31</v>
      </c>
      <c r="J35" s="1">
        <v>22</v>
      </c>
      <c r="K35" s="3">
        <v>57</v>
      </c>
      <c r="L35" s="1">
        <v>1.51</v>
      </c>
      <c r="M35" s="1">
        <v>0.47</v>
      </c>
      <c r="N35" s="3">
        <v>6.0388646934376347</v>
      </c>
      <c r="O35" s="3">
        <v>31</v>
      </c>
    </row>
    <row r="36" spans="1:15" x14ac:dyDescent="0.25">
      <c r="A36" s="1" t="s">
        <v>164</v>
      </c>
      <c r="B36" s="1" t="s">
        <v>78</v>
      </c>
      <c r="C36" s="1" t="s">
        <v>65</v>
      </c>
      <c r="D36" s="1" t="s">
        <v>21</v>
      </c>
      <c r="E36" s="1">
        <v>3</v>
      </c>
      <c r="F36" s="1" t="s">
        <v>177</v>
      </c>
      <c r="G36" s="4">
        <v>44498</v>
      </c>
      <c r="H36" s="3">
        <v>68</v>
      </c>
      <c r="I36" s="1">
        <v>37</v>
      </c>
      <c r="J36" s="1">
        <v>26</v>
      </c>
      <c r="K36" s="3">
        <v>87</v>
      </c>
      <c r="L36" s="1">
        <v>2.1800000000000002</v>
      </c>
      <c r="M36" s="1">
        <v>0.81</v>
      </c>
      <c r="N36" s="3">
        <v>6.9331365764298818</v>
      </c>
      <c r="O36" s="3">
        <v>37</v>
      </c>
    </row>
    <row r="37" spans="1:15" x14ac:dyDescent="0.25">
      <c r="A37" s="1" t="s">
        <v>165</v>
      </c>
      <c r="B37" s="1" t="s">
        <v>78</v>
      </c>
      <c r="C37" s="1" t="s">
        <v>65</v>
      </c>
      <c r="D37" s="1" t="s">
        <v>22</v>
      </c>
      <c r="E37" s="1">
        <v>3</v>
      </c>
      <c r="F37" s="1" t="s">
        <v>178</v>
      </c>
      <c r="G37" s="4">
        <v>44498</v>
      </c>
      <c r="H37" s="3">
        <v>66</v>
      </c>
      <c r="I37" s="1">
        <v>36</v>
      </c>
      <c r="J37" s="1">
        <v>22</v>
      </c>
      <c r="K37" s="3">
        <v>70</v>
      </c>
      <c r="L37" s="1">
        <v>1.45</v>
      </c>
      <c r="M37" s="1">
        <v>0.28000000000000003</v>
      </c>
      <c r="N37" s="3">
        <v>5.0435484319781843</v>
      </c>
      <c r="O37" s="3">
        <v>19</v>
      </c>
    </row>
    <row r="38" spans="1:15" x14ac:dyDescent="0.25">
      <c r="A38" s="1" t="s">
        <v>166</v>
      </c>
      <c r="B38" s="1" t="s">
        <v>78</v>
      </c>
      <c r="C38" s="1" t="s">
        <v>65</v>
      </c>
      <c r="D38" s="1" t="s">
        <v>22</v>
      </c>
      <c r="E38" s="1">
        <v>3</v>
      </c>
      <c r="F38" s="1" t="s">
        <v>178</v>
      </c>
      <c r="G38" s="4">
        <v>44498</v>
      </c>
      <c r="H38" s="3">
        <v>58</v>
      </c>
      <c r="I38" s="1">
        <v>32</v>
      </c>
      <c r="J38" s="1">
        <v>22</v>
      </c>
      <c r="K38" s="3">
        <v>54</v>
      </c>
      <c r="L38" s="1">
        <v>0.77</v>
      </c>
      <c r="M38" s="1">
        <v>0.12</v>
      </c>
      <c r="N38" s="3">
        <v>3.9464512690147204</v>
      </c>
      <c r="O38" s="3">
        <v>16</v>
      </c>
    </row>
    <row r="39" spans="1:15" x14ac:dyDescent="0.25">
      <c r="A39" s="1" t="s">
        <v>167</v>
      </c>
      <c r="B39" s="1" t="s">
        <v>78</v>
      </c>
      <c r="C39" s="1" t="s">
        <v>65</v>
      </c>
      <c r="D39" s="1" t="s">
        <v>22</v>
      </c>
      <c r="E39" s="1">
        <v>3</v>
      </c>
      <c r="F39" s="1" t="s">
        <v>178</v>
      </c>
      <c r="G39" s="4">
        <v>44498</v>
      </c>
      <c r="H39" s="3">
        <v>59</v>
      </c>
      <c r="I39" s="1">
        <v>33</v>
      </c>
      <c r="J39" s="1">
        <v>22</v>
      </c>
      <c r="K39" s="3">
        <v>57</v>
      </c>
      <c r="L39" s="1">
        <v>0.92</v>
      </c>
      <c r="M39" s="1">
        <v>0.2</v>
      </c>
      <c r="N39" s="3">
        <v>4.4795232229195774</v>
      </c>
      <c r="O39" s="3">
        <v>22</v>
      </c>
    </row>
    <row r="40" spans="1:15" x14ac:dyDescent="0.25">
      <c r="A40" s="1" t="s">
        <v>168</v>
      </c>
      <c r="B40" s="1" t="s">
        <v>78</v>
      </c>
      <c r="C40" s="1" t="s">
        <v>65</v>
      </c>
      <c r="D40" s="1" t="s">
        <v>22</v>
      </c>
      <c r="E40" s="1">
        <v>3</v>
      </c>
      <c r="F40" s="1" t="s">
        <v>178</v>
      </c>
      <c r="G40" s="4">
        <v>44498</v>
      </c>
      <c r="H40" s="3">
        <v>61</v>
      </c>
      <c r="I40" s="1">
        <v>33</v>
      </c>
      <c r="J40" s="1">
        <v>20</v>
      </c>
      <c r="K40" s="3">
        <v>54</v>
      </c>
      <c r="L40" s="1">
        <v>0.71</v>
      </c>
      <c r="M40" s="1">
        <v>0.16</v>
      </c>
      <c r="N40" s="3">
        <v>3.1280151202082997</v>
      </c>
      <c r="O40" s="3">
        <v>23</v>
      </c>
    </row>
    <row r="41" spans="1:15" x14ac:dyDescent="0.25">
      <c r="A41" s="1" t="s">
        <v>169</v>
      </c>
      <c r="B41" s="1" t="s">
        <v>78</v>
      </c>
      <c r="C41" s="1" t="s">
        <v>65</v>
      </c>
      <c r="D41" s="1" t="s">
        <v>22</v>
      </c>
      <c r="E41" s="1">
        <v>3</v>
      </c>
      <c r="F41" s="1" t="s">
        <v>178</v>
      </c>
      <c r="G41" s="4">
        <v>44498</v>
      </c>
      <c r="H41" s="3">
        <v>65</v>
      </c>
      <c r="I41" s="1">
        <v>32</v>
      </c>
      <c r="J41" s="1">
        <v>25</v>
      </c>
      <c r="K41" s="3">
        <v>69</v>
      </c>
      <c r="L41" s="1">
        <v>1.29</v>
      </c>
      <c r="M41" s="1">
        <v>0.44</v>
      </c>
      <c r="N41" s="3">
        <v>4.6973145197997273</v>
      </c>
      <c r="O41" s="3">
        <v>34</v>
      </c>
    </row>
    <row r="42" spans="1:15" x14ac:dyDescent="0.25">
      <c r="A42" s="1" t="s">
        <v>170</v>
      </c>
      <c r="B42" s="1" t="s">
        <v>78</v>
      </c>
      <c r="C42" s="1" t="s">
        <v>65</v>
      </c>
      <c r="D42" s="1" t="s">
        <v>22</v>
      </c>
      <c r="E42" s="1">
        <v>3</v>
      </c>
      <c r="F42" s="1" t="s">
        <v>178</v>
      </c>
      <c r="G42" s="4">
        <v>44498</v>
      </c>
      <c r="H42" s="3">
        <v>46</v>
      </c>
      <c r="I42" s="1">
        <v>24</v>
      </c>
      <c r="J42" s="1">
        <v>18</v>
      </c>
      <c r="K42" s="3">
        <v>26</v>
      </c>
      <c r="L42" s="1">
        <v>0.55000000000000004</v>
      </c>
      <c r="M42" s="1">
        <v>0.26</v>
      </c>
      <c r="N42" s="3">
        <v>5.6505301224624001</v>
      </c>
      <c r="O42" s="3">
        <v>47</v>
      </c>
    </row>
    <row r="43" spans="1:15" x14ac:dyDescent="0.25">
      <c r="A43" s="1" t="s">
        <v>171</v>
      </c>
      <c r="B43" s="1" t="s">
        <v>78</v>
      </c>
      <c r="C43" s="1" t="s">
        <v>65</v>
      </c>
      <c r="D43" s="1" t="s">
        <v>22</v>
      </c>
      <c r="E43" s="1">
        <v>3</v>
      </c>
      <c r="F43" s="1" t="s">
        <v>178</v>
      </c>
      <c r="G43" s="4">
        <v>44498</v>
      </c>
      <c r="H43" s="3">
        <v>64</v>
      </c>
      <c r="I43" s="1">
        <v>36</v>
      </c>
      <c r="J43" s="1">
        <v>23</v>
      </c>
      <c r="K43" s="3">
        <v>71</v>
      </c>
      <c r="L43" s="1">
        <v>1.3800000000000001</v>
      </c>
      <c r="M43" s="1">
        <v>0.4</v>
      </c>
      <c r="N43" s="3">
        <v>5.2642822265624991</v>
      </c>
      <c r="O43" s="3">
        <v>29</v>
      </c>
    </row>
    <row r="44" spans="1:15" x14ac:dyDescent="0.25">
      <c r="A44" s="1" t="s">
        <v>172</v>
      </c>
      <c r="B44" s="1" t="s">
        <v>78</v>
      </c>
      <c r="C44" s="1" t="s">
        <v>65</v>
      </c>
      <c r="D44" s="1" t="s">
        <v>22</v>
      </c>
      <c r="E44" s="1">
        <v>3</v>
      </c>
      <c r="F44" s="1" t="s">
        <v>178</v>
      </c>
      <c r="G44" s="4">
        <v>44498</v>
      </c>
      <c r="H44" s="3">
        <v>47</v>
      </c>
      <c r="I44" s="1">
        <v>26</v>
      </c>
      <c r="J44" s="1">
        <v>16</v>
      </c>
      <c r="K44" s="3">
        <v>26</v>
      </c>
      <c r="L44" s="1">
        <v>0.32999999999999996</v>
      </c>
      <c r="M44" s="1">
        <v>0.1</v>
      </c>
      <c r="N44" s="3">
        <v>3.1784864625372018</v>
      </c>
      <c r="O44" s="3">
        <v>30</v>
      </c>
    </row>
    <row r="45" spans="1:15" x14ac:dyDescent="0.25">
      <c r="A45" s="1" t="s">
        <v>173</v>
      </c>
      <c r="B45" s="1" t="s">
        <v>78</v>
      </c>
      <c r="C45" s="1" t="s">
        <v>65</v>
      </c>
      <c r="D45" s="1" t="s">
        <v>22</v>
      </c>
      <c r="E45" s="1">
        <v>3</v>
      </c>
      <c r="F45" s="1" t="s">
        <v>178</v>
      </c>
      <c r="G45" s="4">
        <v>44498</v>
      </c>
      <c r="H45" s="3">
        <v>69</v>
      </c>
      <c r="I45" s="1">
        <v>39</v>
      </c>
      <c r="J45" s="1">
        <v>23</v>
      </c>
      <c r="K45" s="3">
        <v>83</v>
      </c>
      <c r="L45" s="1">
        <v>2.6</v>
      </c>
      <c r="M45" s="1">
        <v>0.93</v>
      </c>
      <c r="N45" s="3">
        <v>7.9145472422368925</v>
      </c>
      <c r="O45" s="3">
        <v>36</v>
      </c>
    </row>
    <row r="46" spans="1:15" x14ac:dyDescent="0.25">
      <c r="A46" s="1" t="s">
        <v>174</v>
      </c>
      <c r="B46" s="1" t="s">
        <v>78</v>
      </c>
      <c r="C46" s="1" t="s">
        <v>65</v>
      </c>
      <c r="D46" s="1" t="s">
        <v>22</v>
      </c>
      <c r="E46" s="1">
        <v>3</v>
      </c>
      <c r="F46" s="1" t="s">
        <v>178</v>
      </c>
      <c r="G46" s="4">
        <v>44498</v>
      </c>
      <c r="H46" s="3">
        <v>69</v>
      </c>
      <c r="I46" s="1">
        <v>34</v>
      </c>
      <c r="J46" s="1">
        <v>23</v>
      </c>
      <c r="K46" s="3">
        <v>72</v>
      </c>
      <c r="L46" s="1">
        <v>2.08</v>
      </c>
      <c r="M46" s="1">
        <v>0.48</v>
      </c>
      <c r="N46" s="3">
        <v>6.3316377937895147</v>
      </c>
      <c r="O46" s="3">
        <v>23</v>
      </c>
    </row>
    <row r="47" spans="1:15" x14ac:dyDescent="0.25">
      <c r="A47" s="1" t="s">
        <v>112</v>
      </c>
      <c r="B47" s="1" t="s">
        <v>78</v>
      </c>
      <c r="C47" s="1" t="s">
        <v>65</v>
      </c>
      <c r="D47" s="1" t="s">
        <v>127</v>
      </c>
      <c r="E47" s="1">
        <v>3</v>
      </c>
      <c r="F47" s="1" t="s">
        <v>179</v>
      </c>
      <c r="G47" s="4">
        <v>44498</v>
      </c>
      <c r="H47" s="3">
        <v>56</v>
      </c>
      <c r="I47" s="1">
        <v>31</v>
      </c>
      <c r="J47" s="1">
        <v>21</v>
      </c>
      <c r="K47" s="3">
        <v>49</v>
      </c>
      <c r="L47" s="1">
        <v>0.75</v>
      </c>
      <c r="M47" s="1">
        <v>0.28999999999999998</v>
      </c>
      <c r="N47" s="3">
        <v>4.2706814868804672</v>
      </c>
      <c r="O47" s="3">
        <v>39</v>
      </c>
    </row>
    <row r="48" spans="1:15" x14ac:dyDescent="0.25">
      <c r="A48" s="1" t="s">
        <v>113</v>
      </c>
      <c r="B48" s="1" t="s">
        <v>78</v>
      </c>
      <c r="C48" s="1" t="s">
        <v>65</v>
      </c>
      <c r="D48" s="1" t="s">
        <v>127</v>
      </c>
      <c r="E48" s="1">
        <v>3</v>
      </c>
      <c r="F48" s="1" t="s">
        <v>179</v>
      </c>
      <c r="G48" s="4">
        <v>44498</v>
      </c>
      <c r="H48" s="3">
        <v>61</v>
      </c>
      <c r="I48" s="1">
        <v>34</v>
      </c>
      <c r="J48" s="1">
        <v>24</v>
      </c>
      <c r="K48" s="3">
        <v>66</v>
      </c>
      <c r="L48" s="1">
        <v>1.33</v>
      </c>
      <c r="M48" s="1">
        <v>0.38</v>
      </c>
      <c r="N48" s="3">
        <v>5.8595212815169564</v>
      </c>
      <c r="O48" s="3">
        <v>29</v>
      </c>
    </row>
    <row r="49" spans="1:15" x14ac:dyDescent="0.25">
      <c r="A49" s="1" t="s">
        <v>114</v>
      </c>
      <c r="B49" s="1" t="s">
        <v>78</v>
      </c>
      <c r="C49" s="1" t="s">
        <v>65</v>
      </c>
      <c r="D49" s="1" t="s">
        <v>127</v>
      </c>
      <c r="E49" s="1">
        <v>3</v>
      </c>
      <c r="F49" s="1" t="s">
        <v>179</v>
      </c>
      <c r="G49" s="4">
        <v>44498</v>
      </c>
      <c r="H49" s="3">
        <v>62</v>
      </c>
      <c r="I49" s="1">
        <v>39</v>
      </c>
      <c r="J49" s="1">
        <v>16</v>
      </c>
      <c r="K49" s="3">
        <v>52</v>
      </c>
      <c r="L49" s="1">
        <v>0.92</v>
      </c>
      <c r="M49" s="1">
        <v>0.32</v>
      </c>
      <c r="N49" s="3">
        <v>3.8602262428250138</v>
      </c>
      <c r="O49" s="3">
        <v>35</v>
      </c>
    </row>
    <row r="50" spans="1:15" x14ac:dyDescent="0.25">
      <c r="A50" s="1" t="s">
        <v>115</v>
      </c>
      <c r="B50" s="1" t="s">
        <v>78</v>
      </c>
      <c r="C50" s="1" t="s">
        <v>65</v>
      </c>
      <c r="D50" s="1" t="s">
        <v>127</v>
      </c>
      <c r="E50" s="1">
        <v>3</v>
      </c>
      <c r="F50" s="1" t="s">
        <v>179</v>
      </c>
      <c r="G50" s="4">
        <v>44498</v>
      </c>
      <c r="H50" s="3">
        <v>67</v>
      </c>
      <c r="I50" s="1">
        <v>36</v>
      </c>
      <c r="J50" s="1">
        <v>32</v>
      </c>
      <c r="K50" s="3">
        <v>103</v>
      </c>
      <c r="L50" s="1">
        <v>0.75</v>
      </c>
      <c r="M50" s="1">
        <v>0.15</v>
      </c>
      <c r="N50" s="3">
        <v>2.4936577970029554</v>
      </c>
      <c r="O50" s="3">
        <v>20</v>
      </c>
    </row>
    <row r="51" spans="1:15" x14ac:dyDescent="0.25">
      <c r="A51" s="1" t="s">
        <v>116</v>
      </c>
      <c r="B51" s="1" t="s">
        <v>78</v>
      </c>
      <c r="C51" s="1" t="s">
        <v>65</v>
      </c>
      <c r="D51" s="1" t="s">
        <v>127</v>
      </c>
      <c r="E51" s="1">
        <v>3</v>
      </c>
      <c r="F51" s="1" t="s">
        <v>179</v>
      </c>
      <c r="G51" s="4">
        <v>44498</v>
      </c>
      <c r="H51" s="3">
        <v>55</v>
      </c>
      <c r="I51" s="1">
        <v>25</v>
      </c>
      <c r="J51" s="1">
        <v>23</v>
      </c>
      <c r="K51" s="3">
        <v>42</v>
      </c>
      <c r="L51" s="1">
        <v>1.05</v>
      </c>
      <c r="M51" s="1">
        <v>0.32</v>
      </c>
      <c r="N51" s="3">
        <v>6.3110443275732528</v>
      </c>
      <c r="O51" s="3">
        <v>30</v>
      </c>
    </row>
    <row r="52" spans="1:15" x14ac:dyDescent="0.25">
      <c r="A52" s="1" t="s">
        <v>117</v>
      </c>
      <c r="B52" s="1" t="s">
        <v>78</v>
      </c>
      <c r="C52" s="1" t="s">
        <v>65</v>
      </c>
      <c r="D52" s="1" t="s">
        <v>127</v>
      </c>
      <c r="E52" s="1">
        <v>3</v>
      </c>
      <c r="F52" s="1" t="s">
        <v>179</v>
      </c>
      <c r="G52" s="4">
        <v>44498</v>
      </c>
      <c r="H52" s="3">
        <v>56</v>
      </c>
      <c r="I52" s="1">
        <v>33</v>
      </c>
      <c r="J52" s="1">
        <v>17</v>
      </c>
      <c r="K52" s="3">
        <v>42</v>
      </c>
      <c r="L52" s="1">
        <v>0.4</v>
      </c>
      <c r="M52" s="1">
        <v>0.11</v>
      </c>
      <c r="N52" s="3">
        <v>2.2776967930029159</v>
      </c>
      <c r="O52" s="3">
        <v>28</v>
      </c>
    </row>
    <row r="53" spans="1:15" x14ac:dyDescent="0.25">
      <c r="A53" s="1" t="s">
        <v>118</v>
      </c>
      <c r="B53" s="1" t="s">
        <v>78</v>
      </c>
      <c r="C53" s="1" t="s">
        <v>65</v>
      </c>
      <c r="D53" s="1" t="s">
        <v>127</v>
      </c>
      <c r="E53" s="1">
        <v>3</v>
      </c>
      <c r="F53" s="1" t="s">
        <v>179</v>
      </c>
      <c r="G53" s="4">
        <v>44498</v>
      </c>
      <c r="H53" s="3">
        <v>58</v>
      </c>
      <c r="I53" s="1">
        <v>30</v>
      </c>
      <c r="J53" s="1">
        <v>18</v>
      </c>
      <c r="K53" s="3">
        <v>42</v>
      </c>
      <c r="L53" s="1">
        <v>0.56000000000000005</v>
      </c>
      <c r="M53" s="1">
        <v>0.1</v>
      </c>
      <c r="N53" s="3">
        <v>2.8701463774652511</v>
      </c>
      <c r="O53" s="3">
        <v>18</v>
      </c>
    </row>
    <row r="54" spans="1:15" x14ac:dyDescent="0.25">
      <c r="A54" s="1" t="s">
        <v>119</v>
      </c>
      <c r="B54" s="1" t="s">
        <v>78</v>
      </c>
      <c r="C54" s="1" t="s">
        <v>65</v>
      </c>
      <c r="D54" s="1" t="s">
        <v>127</v>
      </c>
      <c r="E54" s="1">
        <v>3</v>
      </c>
      <c r="F54" s="1" t="s">
        <v>179</v>
      </c>
      <c r="G54" s="4">
        <v>44498</v>
      </c>
      <c r="H54" s="3">
        <v>62</v>
      </c>
      <c r="I54" s="1">
        <v>40</v>
      </c>
      <c r="J54" s="1">
        <v>21</v>
      </c>
      <c r="K54" s="3">
        <v>69</v>
      </c>
      <c r="L54" s="1">
        <v>1.67</v>
      </c>
      <c r="M54" s="1">
        <v>0.36</v>
      </c>
      <c r="N54" s="3">
        <v>7.0071498103454051</v>
      </c>
      <c r="O54" s="3">
        <v>22</v>
      </c>
    </row>
    <row r="55" spans="1:15" x14ac:dyDescent="0.25">
      <c r="A55" s="1" t="s">
        <v>120</v>
      </c>
      <c r="B55" s="1" t="s">
        <v>78</v>
      </c>
      <c r="C55" s="1" t="s">
        <v>65</v>
      </c>
      <c r="D55" s="1" t="s">
        <v>127</v>
      </c>
      <c r="E55" s="1">
        <v>3</v>
      </c>
      <c r="F55" s="1" t="s">
        <v>179</v>
      </c>
      <c r="G55" s="4">
        <v>44498</v>
      </c>
      <c r="H55" s="3">
        <v>64</v>
      </c>
      <c r="I55" s="1">
        <v>28</v>
      </c>
      <c r="J55" s="1">
        <v>27</v>
      </c>
      <c r="K55" s="3">
        <v>65</v>
      </c>
      <c r="L55" s="1">
        <v>0.5</v>
      </c>
      <c r="M55" s="1">
        <v>0.14000000000000001</v>
      </c>
      <c r="N55" s="3">
        <v>1.9073486328124996</v>
      </c>
      <c r="O55" s="3">
        <v>28</v>
      </c>
    </row>
    <row r="56" spans="1:15" x14ac:dyDescent="0.25">
      <c r="A56" s="1" t="s">
        <v>121</v>
      </c>
      <c r="B56" s="1" t="s">
        <v>78</v>
      </c>
      <c r="C56" s="1" t="s">
        <v>65</v>
      </c>
      <c r="D56" s="1" t="s">
        <v>127</v>
      </c>
      <c r="E56" s="1">
        <v>3</v>
      </c>
      <c r="F56" s="1" t="s">
        <v>179</v>
      </c>
      <c r="G56" s="4">
        <v>44498</v>
      </c>
      <c r="H56" s="3">
        <v>66</v>
      </c>
      <c r="I56" s="1">
        <v>31</v>
      </c>
      <c r="J56" s="1">
        <v>21</v>
      </c>
      <c r="K56" s="3">
        <v>57</v>
      </c>
      <c r="L56" s="1">
        <v>1.67</v>
      </c>
      <c r="M56" s="1">
        <v>0.54</v>
      </c>
      <c r="N56" s="3">
        <v>5.8087764699334947</v>
      </c>
      <c r="O56" s="3">
        <v>32</v>
      </c>
    </row>
    <row r="57" spans="1:15" x14ac:dyDescent="0.25">
      <c r="A57" s="1" t="s">
        <v>122</v>
      </c>
      <c r="B57" s="1" t="s">
        <v>78</v>
      </c>
      <c r="C57" s="1" t="s">
        <v>65</v>
      </c>
      <c r="D57" s="1" t="s">
        <v>127</v>
      </c>
      <c r="E57" s="1">
        <v>3</v>
      </c>
      <c r="F57" s="1" t="s">
        <v>179</v>
      </c>
      <c r="G57" s="4">
        <v>44498</v>
      </c>
      <c r="H57" s="3">
        <v>67</v>
      </c>
      <c r="I57" s="1">
        <v>35</v>
      </c>
      <c r="J57" s="1">
        <v>27</v>
      </c>
      <c r="K57" s="3">
        <v>84</v>
      </c>
      <c r="L57" s="1">
        <v>0.56999999999999995</v>
      </c>
      <c r="M57" s="1">
        <v>0.2</v>
      </c>
      <c r="N57" s="3">
        <v>1.8951799257222461</v>
      </c>
      <c r="O57" s="3">
        <v>35</v>
      </c>
    </row>
    <row r="58" spans="1:15" x14ac:dyDescent="0.25">
      <c r="A58" s="1" t="s">
        <v>123</v>
      </c>
      <c r="B58" s="1" t="s">
        <v>78</v>
      </c>
      <c r="C58" s="1" t="s">
        <v>65</v>
      </c>
      <c r="D58" s="1" t="s">
        <v>127</v>
      </c>
      <c r="E58" s="1">
        <v>3</v>
      </c>
      <c r="F58" s="1" t="s">
        <v>179</v>
      </c>
      <c r="G58" s="4">
        <v>44498</v>
      </c>
      <c r="H58" s="3">
        <v>55</v>
      </c>
      <c r="I58" s="1">
        <v>32</v>
      </c>
      <c r="J58" s="1">
        <v>18</v>
      </c>
      <c r="K58" s="3">
        <v>42</v>
      </c>
      <c r="L58" s="1">
        <v>1.47</v>
      </c>
      <c r="M58" s="1">
        <v>0.3</v>
      </c>
      <c r="N58" s="3">
        <v>8.8354620586025536</v>
      </c>
      <c r="O58" s="3">
        <v>20</v>
      </c>
    </row>
    <row r="59" spans="1:15" x14ac:dyDescent="0.25">
      <c r="A59" s="1" t="s">
        <v>124</v>
      </c>
      <c r="B59" s="1" t="s">
        <v>78</v>
      </c>
      <c r="C59" s="1" t="s">
        <v>65</v>
      </c>
      <c r="D59" s="1" t="s">
        <v>127</v>
      </c>
      <c r="E59" s="1">
        <v>3</v>
      </c>
      <c r="F59" s="1" t="s">
        <v>179</v>
      </c>
      <c r="G59" s="4">
        <v>44498</v>
      </c>
      <c r="H59" s="3">
        <v>52</v>
      </c>
      <c r="I59" s="1">
        <v>33</v>
      </c>
      <c r="J59" s="1">
        <v>18</v>
      </c>
      <c r="K59" s="3">
        <v>41</v>
      </c>
      <c r="L59" s="1">
        <v>0.79</v>
      </c>
      <c r="M59" s="1">
        <v>0.14000000000000001</v>
      </c>
      <c r="N59" s="3">
        <v>5.6184569868001804</v>
      </c>
      <c r="O59" s="3">
        <v>18</v>
      </c>
    </row>
    <row r="60" spans="1:15" x14ac:dyDescent="0.25">
      <c r="A60" s="1" t="s">
        <v>125</v>
      </c>
      <c r="B60" s="1" t="s">
        <v>78</v>
      </c>
      <c r="C60" s="1" t="s">
        <v>65</v>
      </c>
      <c r="D60" s="1" t="s">
        <v>127</v>
      </c>
      <c r="E60" s="1">
        <v>3</v>
      </c>
      <c r="F60" s="1" t="s">
        <v>179</v>
      </c>
      <c r="G60" s="4">
        <v>44498</v>
      </c>
      <c r="H60" s="3">
        <v>58</v>
      </c>
      <c r="I60" s="1">
        <v>33</v>
      </c>
      <c r="J60" s="1">
        <v>17</v>
      </c>
      <c r="K60" s="3">
        <v>43</v>
      </c>
      <c r="L60" s="1">
        <v>1.03</v>
      </c>
      <c r="M60" s="1">
        <v>0.23</v>
      </c>
      <c r="N60" s="3">
        <v>5.2790192299807295</v>
      </c>
      <c r="O60" s="3">
        <v>22</v>
      </c>
    </row>
    <row r="61" spans="1:15" x14ac:dyDescent="0.25">
      <c r="A61" s="1" t="s">
        <v>126</v>
      </c>
      <c r="B61" s="1" t="s">
        <v>78</v>
      </c>
      <c r="C61" s="1" t="s">
        <v>65</v>
      </c>
      <c r="D61" s="1" t="s">
        <v>127</v>
      </c>
      <c r="E61" s="1">
        <v>3</v>
      </c>
      <c r="F61" s="1" t="s">
        <v>179</v>
      </c>
      <c r="G61" s="4">
        <v>44498</v>
      </c>
      <c r="H61" s="3">
        <v>54</v>
      </c>
      <c r="I61" s="1">
        <v>30</v>
      </c>
      <c r="J61" s="1">
        <v>17</v>
      </c>
      <c r="K61" s="3">
        <v>37</v>
      </c>
      <c r="L61" s="1">
        <v>0.52</v>
      </c>
      <c r="M61" s="1">
        <v>0.14000000000000001</v>
      </c>
      <c r="N61" s="3">
        <v>3.3023421226439056</v>
      </c>
      <c r="O61" s="3">
        <v>27</v>
      </c>
    </row>
  </sheetData>
  <sortState xmlns:xlrd2="http://schemas.microsoft.com/office/spreadsheetml/2017/richdata2" ref="A2:O61">
    <sortCondition ref="B2:B6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4902-66B8-4984-B038-2F3872019D21}">
  <dimension ref="A1:F37"/>
  <sheetViews>
    <sheetView workbookViewId="0">
      <selection activeCell="H20" sqref="H20"/>
    </sheetView>
  </sheetViews>
  <sheetFormatPr defaultRowHeight="15" x14ac:dyDescent="0.25"/>
  <cols>
    <col min="5" max="5" width="16.140625" bestFit="1" customWidth="1"/>
  </cols>
  <sheetData>
    <row r="1" spans="1:6" x14ac:dyDescent="0.25">
      <c r="A1" t="s">
        <v>85</v>
      </c>
      <c r="B1" t="s">
        <v>136</v>
      </c>
      <c r="C1" t="s">
        <v>77</v>
      </c>
      <c r="D1" t="s">
        <v>18</v>
      </c>
      <c r="E1" t="s">
        <v>84</v>
      </c>
      <c r="F1" t="s">
        <v>137</v>
      </c>
    </row>
    <row r="2" spans="1:6" x14ac:dyDescent="0.25">
      <c r="A2" t="s">
        <v>23</v>
      </c>
      <c r="B2" t="s">
        <v>134</v>
      </c>
      <c r="C2" t="s">
        <v>78</v>
      </c>
      <c r="D2" t="s">
        <v>20</v>
      </c>
      <c r="E2" t="str">
        <f>B2&amp;"-"&amp;C2&amp;"-"&amp;D2</f>
        <v>before-gallo-OA</v>
      </c>
      <c r="F2">
        <v>7</v>
      </c>
    </row>
    <row r="3" spans="1:6" x14ac:dyDescent="0.25">
      <c r="A3" t="s">
        <v>23</v>
      </c>
      <c r="B3" t="s">
        <v>135</v>
      </c>
      <c r="C3" t="s">
        <v>78</v>
      </c>
      <c r="D3" t="s">
        <v>20</v>
      </c>
      <c r="E3" t="str">
        <f>B3&amp;"-"&amp;C3&amp;"-"&amp;D3</f>
        <v>after-gallo-OA</v>
      </c>
      <c r="F3">
        <v>15</v>
      </c>
    </row>
    <row r="4" spans="1:6" x14ac:dyDescent="0.25">
      <c r="A4" t="s">
        <v>24</v>
      </c>
      <c r="B4" t="s">
        <v>134</v>
      </c>
      <c r="C4" t="s">
        <v>78</v>
      </c>
      <c r="D4" t="s">
        <v>20</v>
      </c>
      <c r="E4" t="str">
        <f>B4&amp;"-"&amp;C4&amp;"-"&amp;D4</f>
        <v>before-gallo-OA</v>
      </c>
      <c r="F4">
        <v>8</v>
      </c>
    </row>
    <row r="5" spans="1:6" x14ac:dyDescent="0.25">
      <c r="A5" t="s">
        <v>24</v>
      </c>
      <c r="B5" t="s">
        <v>135</v>
      </c>
      <c r="C5" t="s">
        <v>78</v>
      </c>
      <c r="D5" t="s">
        <v>20</v>
      </c>
      <c r="E5" t="str">
        <f>B5&amp;"-"&amp;C5&amp;"-"&amp;D5</f>
        <v>after-gallo-OA</v>
      </c>
      <c r="F5">
        <v>25</v>
      </c>
    </row>
    <row r="6" spans="1:6" x14ac:dyDescent="0.25">
      <c r="A6" t="s">
        <v>25</v>
      </c>
      <c r="B6" t="s">
        <v>134</v>
      </c>
      <c r="C6" t="s">
        <v>78</v>
      </c>
      <c r="D6" t="s">
        <v>20</v>
      </c>
      <c r="E6" t="str">
        <f>B6&amp;"-"&amp;C6&amp;"-"&amp;D6</f>
        <v>before-gallo-OA</v>
      </c>
      <c r="F6">
        <v>15</v>
      </c>
    </row>
    <row r="7" spans="1:6" x14ac:dyDescent="0.25">
      <c r="A7" t="s">
        <v>25</v>
      </c>
      <c r="B7" t="s">
        <v>135</v>
      </c>
      <c r="C7" t="s">
        <v>78</v>
      </c>
      <c r="D7" t="s">
        <v>20</v>
      </c>
      <c r="E7" t="str">
        <f>B7&amp;"-"&amp;C7&amp;"-"&amp;D7</f>
        <v>after-gallo-OA</v>
      </c>
      <c r="F7">
        <v>14</v>
      </c>
    </row>
    <row r="8" spans="1:6" x14ac:dyDescent="0.25">
      <c r="A8" t="s">
        <v>26</v>
      </c>
      <c r="B8" t="s">
        <v>134</v>
      </c>
      <c r="C8" t="s">
        <v>78</v>
      </c>
      <c r="D8" t="s">
        <v>20</v>
      </c>
      <c r="E8" t="str">
        <f>B8&amp;"-"&amp;C8&amp;"-"&amp;D8</f>
        <v>before-gallo-OA</v>
      </c>
      <c r="F8">
        <v>12</v>
      </c>
    </row>
    <row r="9" spans="1:6" x14ac:dyDescent="0.25">
      <c r="A9" t="s">
        <v>26</v>
      </c>
      <c r="B9" t="s">
        <v>135</v>
      </c>
      <c r="C9" t="s">
        <v>78</v>
      </c>
      <c r="D9" t="s">
        <v>20</v>
      </c>
      <c r="E9" t="str">
        <f>B9&amp;"-"&amp;C9&amp;"-"&amp;D9</f>
        <v>after-gallo-OA</v>
      </c>
      <c r="F9">
        <v>10</v>
      </c>
    </row>
    <row r="10" spans="1:6" x14ac:dyDescent="0.25">
      <c r="A10" t="s">
        <v>27</v>
      </c>
      <c r="B10" t="s">
        <v>134</v>
      </c>
      <c r="C10" t="s">
        <v>78</v>
      </c>
      <c r="D10" t="s">
        <v>20</v>
      </c>
      <c r="E10" t="str">
        <f>B10&amp;"-"&amp;C10&amp;"-"&amp;D10</f>
        <v>before-gallo-OA</v>
      </c>
      <c r="F10">
        <v>14</v>
      </c>
    </row>
    <row r="11" spans="1:6" x14ac:dyDescent="0.25">
      <c r="A11" t="s">
        <v>27</v>
      </c>
      <c r="B11" t="s">
        <v>135</v>
      </c>
      <c r="C11" t="s">
        <v>78</v>
      </c>
      <c r="D11" t="s">
        <v>20</v>
      </c>
      <c r="E11" t="str">
        <f>B11&amp;"-"&amp;C11&amp;"-"&amp;D11</f>
        <v>after-gallo-OA</v>
      </c>
      <c r="F11">
        <v>26</v>
      </c>
    </row>
    <row r="12" spans="1:6" x14ac:dyDescent="0.25">
      <c r="A12" t="s">
        <v>28</v>
      </c>
      <c r="B12" t="s">
        <v>134</v>
      </c>
      <c r="C12" t="s">
        <v>78</v>
      </c>
      <c r="D12" t="s">
        <v>20</v>
      </c>
      <c r="E12" t="str">
        <f>B12&amp;"-"&amp;C12&amp;"-"&amp;D12</f>
        <v>before-gallo-OA</v>
      </c>
      <c r="F12">
        <v>8</v>
      </c>
    </row>
    <row r="13" spans="1:6" x14ac:dyDescent="0.25">
      <c r="A13" t="s">
        <v>28</v>
      </c>
      <c r="B13" t="s">
        <v>135</v>
      </c>
      <c r="C13" t="s">
        <v>78</v>
      </c>
      <c r="D13" t="s">
        <v>20</v>
      </c>
      <c r="E13" t="str">
        <f>B13&amp;"-"&amp;C13&amp;"-"&amp;D13</f>
        <v>after-gallo-OA</v>
      </c>
      <c r="F13">
        <v>15</v>
      </c>
    </row>
    <row r="14" spans="1:6" x14ac:dyDescent="0.25">
      <c r="A14" t="s">
        <v>31</v>
      </c>
      <c r="B14" t="s">
        <v>134</v>
      </c>
      <c r="C14" t="s">
        <v>78</v>
      </c>
      <c r="D14" t="s">
        <v>21</v>
      </c>
      <c r="E14" t="str">
        <f>B14&amp;"-"&amp;C14&amp;"-"&amp;D14</f>
        <v>before-gallo-OW</v>
      </c>
      <c r="F14">
        <v>7</v>
      </c>
    </row>
    <row r="15" spans="1:6" x14ac:dyDescent="0.25">
      <c r="A15" t="s">
        <v>31</v>
      </c>
      <c r="B15" t="s">
        <v>135</v>
      </c>
      <c r="C15" t="s">
        <v>78</v>
      </c>
      <c r="D15" t="s">
        <v>21</v>
      </c>
      <c r="E15" t="str">
        <f>B15&amp;"-"&amp;C15&amp;"-"&amp;D15</f>
        <v>after-gallo-OW</v>
      </c>
      <c r="F15">
        <v>24</v>
      </c>
    </row>
    <row r="16" spans="1:6" x14ac:dyDescent="0.25">
      <c r="A16" t="s">
        <v>140</v>
      </c>
      <c r="B16" t="s">
        <v>134</v>
      </c>
      <c r="C16" t="s">
        <v>78</v>
      </c>
      <c r="D16" t="s">
        <v>21</v>
      </c>
      <c r="E16" t="str">
        <f>B16&amp;"-"&amp;C16&amp;"-"&amp;D16</f>
        <v>before-gallo-OW</v>
      </c>
      <c r="F16">
        <v>11</v>
      </c>
    </row>
    <row r="17" spans="1:6" x14ac:dyDescent="0.25">
      <c r="A17" t="s">
        <v>140</v>
      </c>
      <c r="B17" t="s">
        <v>135</v>
      </c>
      <c r="C17" t="s">
        <v>78</v>
      </c>
      <c r="D17" t="s">
        <v>21</v>
      </c>
      <c r="E17" t="str">
        <f>B17&amp;"-"&amp;C17&amp;"-"&amp;D17</f>
        <v>after-gallo-OW</v>
      </c>
      <c r="F17">
        <v>22</v>
      </c>
    </row>
    <row r="18" spans="1:6" x14ac:dyDescent="0.25">
      <c r="A18" t="s">
        <v>139</v>
      </c>
      <c r="B18" t="s">
        <v>134</v>
      </c>
      <c r="C18" t="s">
        <v>78</v>
      </c>
      <c r="D18" t="s">
        <v>21</v>
      </c>
      <c r="E18" t="str">
        <f>B18&amp;"-"&amp;C18&amp;"-"&amp;D18</f>
        <v>before-gallo-OW</v>
      </c>
      <c r="F18">
        <v>12</v>
      </c>
    </row>
    <row r="19" spans="1:6" x14ac:dyDescent="0.25">
      <c r="A19" t="s">
        <v>139</v>
      </c>
      <c r="B19" t="s">
        <v>135</v>
      </c>
      <c r="C19" t="s">
        <v>78</v>
      </c>
      <c r="D19" t="s">
        <v>21</v>
      </c>
      <c r="E19" t="str">
        <f>B19&amp;"-"&amp;C19&amp;"-"&amp;D19</f>
        <v>after-gallo-OW</v>
      </c>
      <c r="F19">
        <v>20</v>
      </c>
    </row>
    <row r="20" spans="1:6" x14ac:dyDescent="0.25">
      <c r="A20" t="s">
        <v>34</v>
      </c>
      <c r="B20" t="s">
        <v>134</v>
      </c>
      <c r="C20" t="s">
        <v>78</v>
      </c>
      <c r="D20" t="s">
        <v>21</v>
      </c>
      <c r="E20" t="str">
        <f>B20&amp;"-"&amp;C20&amp;"-"&amp;D20</f>
        <v>before-gallo-OW</v>
      </c>
      <c r="F20">
        <v>8</v>
      </c>
    </row>
    <row r="21" spans="1:6" x14ac:dyDescent="0.25">
      <c r="A21" t="s">
        <v>34</v>
      </c>
      <c r="B21" t="s">
        <v>135</v>
      </c>
      <c r="C21" t="s">
        <v>78</v>
      </c>
      <c r="D21" t="s">
        <v>21</v>
      </c>
      <c r="E21" t="str">
        <f>B21&amp;"-"&amp;C21&amp;"-"&amp;D21</f>
        <v>after-gallo-OW</v>
      </c>
      <c r="F21">
        <v>16</v>
      </c>
    </row>
    <row r="22" spans="1:6" x14ac:dyDescent="0.25">
      <c r="A22" t="s">
        <v>141</v>
      </c>
      <c r="B22" t="s">
        <v>134</v>
      </c>
      <c r="C22" t="s">
        <v>78</v>
      </c>
      <c r="D22" t="s">
        <v>21</v>
      </c>
      <c r="E22" t="str">
        <f>B22&amp;"-"&amp;C22&amp;"-"&amp;D22</f>
        <v>before-gallo-OW</v>
      </c>
      <c r="F22">
        <v>16</v>
      </c>
    </row>
    <row r="23" spans="1:6" x14ac:dyDescent="0.25">
      <c r="A23" t="s">
        <v>141</v>
      </c>
      <c r="B23" t="s">
        <v>135</v>
      </c>
      <c r="C23" t="s">
        <v>78</v>
      </c>
      <c r="D23" t="s">
        <v>21</v>
      </c>
      <c r="E23" t="str">
        <f>B23&amp;"-"&amp;C23&amp;"-"&amp;D23</f>
        <v>after-gallo-OW</v>
      </c>
      <c r="F23">
        <v>12</v>
      </c>
    </row>
    <row r="24" spans="1:6" x14ac:dyDescent="0.25">
      <c r="A24" t="s">
        <v>138</v>
      </c>
      <c r="B24" t="s">
        <v>134</v>
      </c>
      <c r="C24" t="s">
        <v>78</v>
      </c>
      <c r="D24" t="s">
        <v>21</v>
      </c>
      <c r="E24" t="str">
        <f>B24&amp;"-"&amp;C24&amp;"-"&amp;D24</f>
        <v>before-gallo-OW</v>
      </c>
      <c r="F24">
        <v>8</v>
      </c>
    </row>
    <row r="25" spans="1:6" x14ac:dyDescent="0.25">
      <c r="A25" t="s">
        <v>138</v>
      </c>
      <c r="B25" t="s">
        <v>135</v>
      </c>
      <c r="C25" t="s">
        <v>78</v>
      </c>
      <c r="D25" t="s">
        <v>21</v>
      </c>
      <c r="E25" t="str">
        <f>B25&amp;"-"&amp;C25&amp;"-"&amp;D25</f>
        <v>after-gallo-OW</v>
      </c>
      <c r="F25">
        <v>11</v>
      </c>
    </row>
    <row r="26" spans="1:6" x14ac:dyDescent="0.25">
      <c r="A26" t="s">
        <v>35</v>
      </c>
      <c r="B26" t="s">
        <v>134</v>
      </c>
      <c r="C26" t="s">
        <v>78</v>
      </c>
      <c r="D26" t="s">
        <v>21</v>
      </c>
      <c r="E26" t="str">
        <f>B26&amp;"-"&amp;C26&amp;"-"&amp;D26</f>
        <v>before-gallo-OW</v>
      </c>
      <c r="F26">
        <v>6</v>
      </c>
    </row>
    <row r="27" spans="1:6" x14ac:dyDescent="0.25">
      <c r="A27" t="s">
        <v>35</v>
      </c>
      <c r="B27" t="s">
        <v>135</v>
      </c>
      <c r="C27" t="s">
        <v>78</v>
      </c>
      <c r="D27" t="s">
        <v>21</v>
      </c>
      <c r="E27" t="str">
        <f>B27&amp;"-"&amp;C27&amp;"-"&amp;D27</f>
        <v>after-gallo-OW</v>
      </c>
      <c r="F27">
        <v>14</v>
      </c>
    </row>
    <row r="28" spans="1:6" x14ac:dyDescent="0.25">
      <c r="A28" t="s">
        <v>142</v>
      </c>
      <c r="B28" t="s">
        <v>134</v>
      </c>
      <c r="C28" t="s">
        <v>78</v>
      </c>
      <c r="D28" t="s">
        <v>21</v>
      </c>
      <c r="E28" t="str">
        <f>B28&amp;"-"&amp;C28&amp;"-"&amp;D28</f>
        <v>before-gallo-OW</v>
      </c>
      <c r="F28">
        <v>7</v>
      </c>
    </row>
    <row r="29" spans="1:6" x14ac:dyDescent="0.25">
      <c r="A29" t="s">
        <v>142</v>
      </c>
      <c r="B29" t="s">
        <v>135</v>
      </c>
      <c r="C29" t="s">
        <v>78</v>
      </c>
      <c r="D29" t="s">
        <v>21</v>
      </c>
      <c r="E29" t="str">
        <f>B29&amp;"-"&amp;C29&amp;"-"&amp;D29</f>
        <v>after-gallo-OW</v>
      </c>
      <c r="F29">
        <v>14</v>
      </c>
    </row>
    <row r="30" spans="1:6" x14ac:dyDescent="0.25">
      <c r="A30" t="s">
        <v>36</v>
      </c>
      <c r="B30" t="s">
        <v>134</v>
      </c>
      <c r="C30" t="s">
        <v>78</v>
      </c>
      <c r="D30" t="s">
        <v>21</v>
      </c>
      <c r="E30" t="str">
        <f>B30&amp;"-"&amp;C30&amp;"-"&amp;D30</f>
        <v>before-gallo-OW</v>
      </c>
      <c r="F30">
        <v>11</v>
      </c>
    </row>
    <row r="31" spans="1:6" x14ac:dyDescent="0.25">
      <c r="A31" t="s">
        <v>36</v>
      </c>
      <c r="B31" t="s">
        <v>135</v>
      </c>
      <c r="C31" t="s">
        <v>78</v>
      </c>
      <c r="D31" t="s">
        <v>21</v>
      </c>
      <c r="E31" t="str">
        <f>B31&amp;"-"&amp;C31&amp;"-"&amp;D31</f>
        <v>after-gallo-OW</v>
      </c>
      <c r="F31">
        <v>22</v>
      </c>
    </row>
    <row r="32" spans="1:6" x14ac:dyDescent="0.25">
      <c r="A32" t="s">
        <v>143</v>
      </c>
      <c r="B32" t="s">
        <v>134</v>
      </c>
      <c r="C32" t="s">
        <v>78</v>
      </c>
      <c r="D32" t="s">
        <v>21</v>
      </c>
      <c r="E32" t="str">
        <f>B32&amp;"-"&amp;C32&amp;"-"&amp;D32</f>
        <v>before-gallo-OW</v>
      </c>
      <c r="F32">
        <v>2</v>
      </c>
    </row>
    <row r="33" spans="1:6" x14ac:dyDescent="0.25">
      <c r="A33" t="s">
        <v>143</v>
      </c>
      <c r="B33" t="s">
        <v>135</v>
      </c>
      <c r="C33" t="s">
        <v>78</v>
      </c>
      <c r="D33" t="s">
        <v>21</v>
      </c>
      <c r="E33" t="str">
        <f>B33&amp;"-"&amp;C33&amp;"-"&amp;D33</f>
        <v>after-gallo-OW</v>
      </c>
      <c r="F33">
        <v>9</v>
      </c>
    </row>
    <row r="34" spans="1:6" x14ac:dyDescent="0.25">
      <c r="A34" t="s">
        <v>144</v>
      </c>
      <c r="B34" t="s">
        <v>134</v>
      </c>
      <c r="C34" t="s">
        <v>78</v>
      </c>
      <c r="D34" t="s">
        <v>21</v>
      </c>
      <c r="E34" t="str">
        <f>B34&amp;"-"&amp;C34&amp;"-"&amp;D34</f>
        <v>before-gallo-OW</v>
      </c>
      <c r="F34">
        <v>6</v>
      </c>
    </row>
    <row r="35" spans="1:6" x14ac:dyDescent="0.25">
      <c r="A35" t="s">
        <v>144</v>
      </c>
      <c r="B35" t="s">
        <v>135</v>
      </c>
      <c r="C35" t="s">
        <v>78</v>
      </c>
      <c r="D35" t="s">
        <v>21</v>
      </c>
      <c r="E35" t="str">
        <f>B35&amp;"-"&amp;C35&amp;"-"&amp;D35</f>
        <v>after-gallo-OW</v>
      </c>
      <c r="F35">
        <v>8</v>
      </c>
    </row>
    <row r="36" spans="1:6" x14ac:dyDescent="0.25">
      <c r="A36" t="s">
        <v>37</v>
      </c>
      <c r="B36" t="s">
        <v>134</v>
      </c>
      <c r="C36" t="s">
        <v>78</v>
      </c>
      <c r="D36" t="s">
        <v>21</v>
      </c>
      <c r="E36" t="str">
        <f>B36&amp;"-"&amp;C36&amp;"-"&amp;D36</f>
        <v>before-gallo-OW</v>
      </c>
      <c r="F36">
        <v>4</v>
      </c>
    </row>
    <row r="37" spans="1:6" x14ac:dyDescent="0.25">
      <c r="A37" t="s">
        <v>37</v>
      </c>
      <c r="B37" t="s">
        <v>135</v>
      </c>
      <c r="C37" t="s">
        <v>78</v>
      </c>
      <c r="D37" t="s">
        <v>21</v>
      </c>
      <c r="E37" t="str">
        <f>B37&amp;"-"&amp;C37&amp;"-"&amp;D37</f>
        <v>after-gallo-OW</v>
      </c>
      <c r="F37">
        <v>8</v>
      </c>
    </row>
  </sheetData>
  <sortState xmlns:xlrd2="http://schemas.microsoft.com/office/spreadsheetml/2017/richdata2" ref="A2:F37">
    <sortCondition ref="C2:C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tissue-for-RNA</vt:lpstr>
      <vt:lpstr>condition</vt:lpstr>
      <vt:lpstr>paired-thread_count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</dc:creator>
  <cp:keywords/>
  <dc:description/>
  <cp:lastModifiedBy>Matt George</cp:lastModifiedBy>
  <cp:revision/>
  <dcterms:created xsi:type="dcterms:W3CDTF">2021-10-22T16:12:00Z</dcterms:created>
  <dcterms:modified xsi:type="dcterms:W3CDTF">2026-06-19T21:01:57Z</dcterms:modified>
  <cp:category/>
  <cp:contentStatus/>
</cp:coreProperties>
</file>